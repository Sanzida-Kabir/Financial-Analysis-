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xr:revisionPtr revIDLastSave="0" documentId="8_{38EBB51F-B2AC-49B8-9D8A-D751CD475726}" xr6:coauthVersionLast="47" xr6:coauthVersionMax="47" xr10:uidLastSave="{00000000-0000-0000-0000-000000000000}"/>
  <bookViews>
    <workbookView xWindow="0" yWindow="0" windowWidth="16384" windowHeight="8192" tabRatio="500" xr2:uid="{00000000-000D-0000-FFFF-FFFF00000000}"/>
  </bookViews>
  <sheets>
    <sheet name="00_README" sheetId="1" r:id="rId1"/>
    <sheet name="01_Income_Statement" sheetId="2" r:id="rId2"/>
    <sheet name="02_Balance_Sheet" sheetId="3" r:id="rId3"/>
    <sheet name="03_Cash_Flow" sheetId="4" r:id="rId4"/>
    <sheet name="04_Segment_Analysis" sheetId="5" r:id="rId5"/>
    <sheet name="05_Geographic_Analysis" sheetId="6" r:id="rId6"/>
    <sheet name="06_Common_Size" sheetId="7" r:id="rId7"/>
    <sheet name="07_Ratios" sheetId="8" r:id="rId8"/>
    <sheet name="08_Growth_Analysis" sheetId="9" r:id="rId9"/>
    <sheet name="09_Dashboard" sheetId="10" r:id="rId10"/>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3" i="10" l="1"/>
  <c r="C22" i="10"/>
  <c r="C21" i="10"/>
  <c r="C20" i="10"/>
  <c r="D23" i="10"/>
  <c r="D22" i="10"/>
  <c r="D21" i="10"/>
  <c r="D20" i="10"/>
  <c r="E20" i="10"/>
  <c r="F23" i="10"/>
  <c r="E23" i="10"/>
  <c r="F22" i="10"/>
  <c r="E22" i="10"/>
  <c r="F21" i="10"/>
  <c r="E21" i="10"/>
  <c r="F20" i="10"/>
  <c r="D19" i="9"/>
  <c r="D18" i="9"/>
  <c r="D17" i="9"/>
  <c r="D16" i="9"/>
  <c r="E16" i="9"/>
  <c r="C9" i="6"/>
  <c r="C16" i="5"/>
  <c r="C15" i="5"/>
  <c r="C14" i="5"/>
  <c r="C13" i="5"/>
  <c r="C8" i="5"/>
  <c r="C7" i="5"/>
  <c r="C6" i="5"/>
  <c r="C5" i="5"/>
  <c r="C9" i="5" s="1"/>
  <c r="C15" i="2"/>
  <c r="D15" i="2"/>
  <c r="E15" i="2"/>
  <c r="F15" i="2"/>
  <c r="C16" i="2"/>
  <c r="D16" i="2"/>
  <c r="E16" i="2"/>
  <c r="F16" i="2"/>
  <c r="C17" i="2"/>
  <c r="D17" i="2"/>
  <c r="E17" i="2"/>
  <c r="F17" i="2"/>
  <c r="C18" i="2"/>
  <c r="D18" i="2"/>
  <c r="E18" i="2"/>
  <c r="F18" i="2"/>
  <c r="D9" i="9"/>
  <c r="F17" i="10"/>
  <c r="E17" i="10"/>
  <c r="D17" i="10"/>
  <c r="C17" i="10"/>
  <c r="F16" i="10"/>
  <c r="E16" i="10"/>
  <c r="D16" i="10"/>
  <c r="C16" i="10"/>
  <c r="F15" i="10"/>
  <c r="E15" i="10"/>
  <c r="D15" i="10"/>
  <c r="C15" i="10"/>
  <c r="F12" i="10"/>
  <c r="E12" i="10"/>
  <c r="D12" i="10"/>
  <c r="C12" i="10"/>
  <c r="F11" i="10"/>
  <c r="E11" i="10"/>
  <c r="D11" i="10"/>
  <c r="C11" i="10"/>
  <c r="F10" i="10"/>
  <c r="E10" i="10"/>
  <c r="D10" i="10"/>
  <c r="C10" i="10"/>
  <c r="F9" i="10"/>
  <c r="E9" i="10"/>
  <c r="D9" i="10"/>
  <c r="C9" i="10"/>
  <c r="H5" i="10"/>
  <c r="F5" i="10"/>
  <c r="D5" i="10"/>
  <c r="B5" i="10"/>
  <c r="F19" i="9"/>
  <c r="E19" i="9"/>
  <c r="F18" i="9"/>
  <c r="E18" i="9"/>
  <c r="F17" i="9"/>
  <c r="E17" i="9"/>
  <c r="F16" i="9"/>
  <c r="F13" i="9"/>
  <c r="E13" i="9"/>
  <c r="D13" i="9"/>
  <c r="F12" i="9"/>
  <c r="E12" i="9"/>
  <c r="D12" i="9"/>
  <c r="F9" i="9"/>
  <c r="E9" i="9"/>
  <c r="F8" i="9"/>
  <c r="E8" i="9"/>
  <c r="D8" i="9"/>
  <c r="F7" i="9"/>
  <c r="E7" i="9"/>
  <c r="D7" i="9"/>
  <c r="F6" i="9"/>
  <c r="E6" i="9"/>
  <c r="D6" i="9"/>
  <c r="F23" i="8"/>
  <c r="E23" i="8"/>
  <c r="D23" i="8"/>
  <c r="C23" i="8"/>
  <c r="F22" i="8"/>
  <c r="E22" i="8"/>
  <c r="D22" i="8"/>
  <c r="C22" i="8"/>
  <c r="F21" i="8"/>
  <c r="E21" i="8"/>
  <c r="D21" i="8"/>
  <c r="C21" i="8"/>
  <c r="F18" i="8"/>
  <c r="E18" i="8"/>
  <c r="D18" i="8"/>
  <c r="C18" i="8"/>
  <c r="F17" i="8"/>
  <c r="E17" i="8"/>
  <c r="D17" i="8"/>
  <c r="C17" i="8"/>
  <c r="F14" i="8"/>
  <c r="E14" i="8"/>
  <c r="D14" i="8"/>
  <c r="C14" i="8"/>
  <c r="F13" i="8"/>
  <c r="E13" i="8"/>
  <c r="D13" i="8"/>
  <c r="C13" i="8"/>
  <c r="F10" i="8"/>
  <c r="E10" i="8"/>
  <c r="D10" i="8"/>
  <c r="C10" i="8"/>
  <c r="F9" i="8"/>
  <c r="E9" i="8"/>
  <c r="D9" i="8"/>
  <c r="C9" i="8"/>
  <c r="F8" i="8"/>
  <c r="E8" i="8"/>
  <c r="D8" i="8"/>
  <c r="C8" i="8"/>
  <c r="F7" i="8"/>
  <c r="E7" i="8"/>
  <c r="D7" i="8"/>
  <c r="C7" i="8"/>
  <c r="F6" i="8"/>
  <c r="E6" i="8"/>
  <c r="D6" i="8"/>
  <c r="C6" i="8"/>
  <c r="F10" i="7"/>
  <c r="E10" i="7"/>
  <c r="D10" i="7"/>
  <c r="C10" i="7"/>
  <c r="F9" i="7"/>
  <c r="E9" i="7"/>
  <c r="D9" i="7"/>
  <c r="C9" i="7"/>
  <c r="F8" i="7"/>
  <c r="E8" i="7"/>
  <c r="D8" i="7"/>
  <c r="C8" i="7"/>
  <c r="F7" i="7"/>
  <c r="E7" i="7"/>
  <c r="D7" i="7"/>
  <c r="C7" i="7"/>
  <c r="F6" i="7"/>
  <c r="E6" i="7"/>
  <c r="D6" i="7"/>
  <c r="C6" i="7"/>
  <c r="F5" i="7"/>
  <c r="E5" i="7"/>
  <c r="D5" i="7"/>
  <c r="C5" i="7"/>
  <c r="F9" i="6"/>
  <c r="E9" i="6"/>
  <c r="D9" i="6"/>
  <c r="F9" i="5"/>
  <c r="E9" i="5"/>
  <c r="D9" i="5"/>
  <c r="F11" i="4"/>
  <c r="E11" i="4"/>
  <c r="D11" i="4"/>
  <c r="C11" i="4"/>
  <c r="H18" i="2"/>
  <c r="G18" i="2"/>
  <c r="H17" i="2"/>
  <c r="G17" i="2"/>
  <c r="H16" i="2"/>
  <c r="G16" i="2"/>
  <c r="H15" i="2"/>
  <c r="G15" i="2"/>
  <c r="C16" i="6" l="1"/>
  <c r="C15" i="6"/>
  <c r="C14" i="6"/>
  <c r="C13" i="6"/>
  <c r="D16" i="5"/>
  <c r="D15" i="5"/>
  <c r="D14" i="5"/>
  <c r="D13" i="5"/>
  <c r="E16" i="5"/>
  <c r="E15" i="5"/>
  <c r="E14" i="5"/>
  <c r="E13" i="5"/>
  <c r="F16" i="5"/>
  <c r="F15" i="5"/>
  <c r="F14" i="5"/>
  <c r="F13" i="5"/>
  <c r="D16" i="6"/>
  <c r="D15" i="6"/>
  <c r="D14" i="6"/>
  <c r="D13" i="6"/>
  <c r="E16" i="6"/>
  <c r="E15" i="6"/>
  <c r="E14" i="6"/>
  <c r="E13" i="6"/>
  <c r="F16" i="6"/>
  <c r="F15" i="6"/>
  <c r="F14" i="6"/>
  <c r="F1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5" authorId="0" shapeId="0" xr:uid="{00000000-0006-0000-0100-000001000000}">
      <text>
        <r>
          <rPr>
            <sz val="10"/>
            <rFont val="Arial"/>
            <family val="2"/>
          </rPr>
          <t>Source: Samsung Consolidated Statements of Profit or Loss, FY2022 vs FY2021 (audited), 2022_con_quarter04_soi_1.pdf</t>
        </r>
      </text>
    </comment>
    <comment ref="D5" authorId="0" shapeId="0" xr:uid="{00000000-0006-0000-0100-000007000000}">
      <text>
        <r>
          <rPr>
            <sz val="10"/>
            <rFont val="Arial"/>
            <family val="2"/>
          </rPr>
          <t>Source: Samsung Consolidated Statements of Profit or Loss, FY2024 vs FY2023 (audited), 2025_SEC_Consolidated_Financial_statements.pdf</t>
        </r>
      </text>
    </comment>
    <comment ref="E5" authorId="0" shapeId="0" xr:uid="{00000000-0006-0000-0100-00000D000000}">
      <text>
        <r>
          <rPr>
            <sz val="10"/>
            <rFont val="Arial"/>
            <family val="2"/>
          </rPr>
          <t>Source: Samsung Consolidated Statements of Profit or Loss, FY2025 vs FY2024, 2025_con_quarter04_soi.pdf</t>
        </r>
      </text>
    </comment>
    <comment ref="F5" authorId="0" shapeId="0" xr:uid="{00000000-0006-0000-0100-000013000000}">
      <text>
        <r>
          <rPr>
            <sz val="10"/>
            <rFont val="Arial"/>
            <family val="2"/>
          </rPr>
          <t>Source: Samsung Consolidated Statements of Profit or Loss, FY2025 vs FY2024, 2025_con_quarter04_soi.pdf</t>
        </r>
      </text>
    </comment>
    <comment ref="C6" authorId="0" shapeId="0" xr:uid="{00000000-0006-0000-0100-000002000000}">
      <text>
        <r>
          <rPr>
            <sz val="10"/>
            <rFont val="Arial"/>
            <family val="2"/>
          </rPr>
          <t>Source: Samsung Consolidated Statements of Profit or Loss, FY2022 vs FY2021 (audited), 2022_con_quarter04_soi_1.pdf</t>
        </r>
      </text>
    </comment>
    <comment ref="D6" authorId="0" shapeId="0" xr:uid="{00000000-0006-0000-0100-000008000000}">
      <text>
        <r>
          <rPr>
            <sz val="10"/>
            <rFont val="Arial"/>
            <family val="2"/>
          </rPr>
          <t>Source: Samsung Consolidated Statements of Profit or Loss, FY2024 vs FY2023 (audited), 2025_SEC_Consolidated_Financial_statements.pdf</t>
        </r>
      </text>
    </comment>
    <comment ref="E6" authorId="0" shapeId="0" xr:uid="{00000000-0006-0000-0100-00000E000000}">
      <text>
        <r>
          <rPr>
            <sz val="10"/>
            <rFont val="Arial"/>
            <family val="2"/>
          </rPr>
          <t>Source: Samsung Consolidated Statements of Profit or Loss, FY2025 vs FY2024, 2025_con_quarter04_soi.pdf</t>
        </r>
      </text>
    </comment>
    <comment ref="F6" authorId="0" shapeId="0" xr:uid="{00000000-0006-0000-0100-000014000000}">
      <text>
        <r>
          <rPr>
            <sz val="10"/>
            <rFont val="Arial"/>
            <family val="2"/>
          </rPr>
          <t>Source: Samsung Consolidated Statements of Profit or Loss, FY2025 vs FY2024, 2025_con_quarter04_soi.pdf</t>
        </r>
      </text>
    </comment>
    <comment ref="C7" authorId="0" shapeId="0" xr:uid="{00000000-0006-0000-0100-000003000000}">
      <text>
        <r>
          <rPr>
            <sz val="10"/>
            <rFont val="Arial"/>
            <family val="2"/>
          </rPr>
          <t>Source: Samsung Consolidated Statements of Profit or Loss, FY2022 vs FY2021 (audited), 2022_con_quarter04_soi_1.pdf</t>
        </r>
      </text>
    </comment>
    <comment ref="D7" authorId="0" shapeId="0" xr:uid="{00000000-0006-0000-0100-000009000000}">
      <text>
        <r>
          <rPr>
            <sz val="10"/>
            <rFont val="Arial"/>
            <family val="2"/>
          </rPr>
          <t>Source: Samsung Consolidated Statements of Profit or Loss, FY2024 vs FY2023 (audited), 2025_SEC_Consolidated_Financial_statements.pdf</t>
        </r>
      </text>
    </comment>
    <comment ref="E7" authorId="0" shapeId="0" xr:uid="{00000000-0006-0000-0100-00000F000000}">
      <text>
        <r>
          <rPr>
            <sz val="10"/>
            <rFont val="Arial"/>
            <family val="2"/>
          </rPr>
          <t>Source: Samsung Consolidated Statements of Profit or Loss, FY2025 vs FY2024, 2025_con_quarter04_soi.pdf</t>
        </r>
      </text>
    </comment>
    <comment ref="F7" authorId="0" shapeId="0" xr:uid="{00000000-0006-0000-0100-000015000000}">
      <text>
        <r>
          <rPr>
            <sz val="10"/>
            <rFont val="Arial"/>
            <family val="2"/>
          </rPr>
          <t>Source: Samsung Consolidated Statements of Profit or Loss, FY2025 vs FY2024, 2025_con_quarter04_soi.pdf</t>
        </r>
      </text>
    </comment>
    <comment ref="C8" authorId="0" shapeId="0" xr:uid="{00000000-0006-0000-0100-000004000000}">
      <text>
        <r>
          <rPr>
            <sz val="10"/>
            <rFont val="Arial"/>
            <family val="2"/>
          </rPr>
          <t>Source: Samsung Consolidated Statements of Profit or Loss, FY2022 vs FY2021 (audited), 2022_con_quarter04_soi_1.pdf</t>
        </r>
      </text>
    </comment>
    <comment ref="D8" authorId="0" shapeId="0" xr:uid="{00000000-0006-0000-0100-00000A000000}">
      <text>
        <r>
          <rPr>
            <sz val="10"/>
            <rFont val="Arial"/>
            <family val="2"/>
          </rPr>
          <t>Source: Samsung Consolidated Statements of Profit or Loss, FY2024 vs FY2023 (audited), 2025_SEC_Consolidated_Financial_statements.pdf</t>
        </r>
      </text>
    </comment>
    <comment ref="E8" authorId="0" shapeId="0" xr:uid="{00000000-0006-0000-0100-000010000000}">
      <text>
        <r>
          <rPr>
            <sz val="10"/>
            <rFont val="Arial"/>
            <family val="2"/>
          </rPr>
          <t>Source: Samsung Consolidated Statements of Profit or Loss, FY2025 vs FY2024, 2025_con_quarter04_soi.pdf</t>
        </r>
      </text>
    </comment>
    <comment ref="F8" authorId="0" shapeId="0" xr:uid="{00000000-0006-0000-0100-000016000000}">
      <text>
        <r>
          <rPr>
            <sz val="10"/>
            <rFont val="Arial"/>
            <family val="2"/>
          </rPr>
          <t>Source: Samsung Consolidated Statements of Profit or Loss, FY2025 vs FY2024, 2025_con_quarter04_soi.pdf</t>
        </r>
      </text>
    </comment>
    <comment ref="C9" authorId="0" shapeId="0" xr:uid="{00000000-0006-0000-0100-000005000000}">
      <text>
        <r>
          <rPr>
            <sz val="10"/>
            <rFont val="Arial"/>
            <family val="2"/>
          </rPr>
          <t>Source: Samsung Consolidated Statements of Profit or Loss, FY2022 vs FY2021 (audited), 2022_con_quarter04_soi_1.pdf</t>
        </r>
      </text>
    </comment>
    <comment ref="D9" authorId="0" shapeId="0" xr:uid="{00000000-0006-0000-0100-00000B000000}">
      <text>
        <r>
          <rPr>
            <sz val="10"/>
            <rFont val="Arial"/>
            <family val="2"/>
          </rPr>
          <t>Source: Samsung Consolidated Statements of Profit or Loss, FY2024 vs FY2023 (audited), 2025_SEC_Consolidated_Financial_statements.pdf</t>
        </r>
      </text>
    </comment>
    <comment ref="E9" authorId="0" shapeId="0" xr:uid="{00000000-0006-0000-0100-000011000000}">
      <text>
        <r>
          <rPr>
            <sz val="10"/>
            <rFont val="Arial"/>
            <family val="2"/>
          </rPr>
          <t>Source: Samsung Consolidated Statements of Profit or Loss, FY2025 vs FY2024, 2025_con_quarter04_soi.pdf</t>
        </r>
      </text>
    </comment>
    <comment ref="F9" authorId="0" shapeId="0" xr:uid="{00000000-0006-0000-0100-000017000000}">
      <text>
        <r>
          <rPr>
            <sz val="10"/>
            <rFont val="Arial"/>
            <family val="2"/>
          </rPr>
          <t>Source: Samsung Consolidated Statements of Profit or Loss, FY2025 vs FY2024, 2025_con_quarter04_soi.pdf</t>
        </r>
      </text>
    </comment>
    <comment ref="C10" authorId="0" shapeId="0" xr:uid="{00000000-0006-0000-0100-000006000000}">
      <text>
        <r>
          <rPr>
            <sz val="10"/>
            <rFont val="Arial"/>
            <family val="2"/>
          </rPr>
          <t>Source: Samsung Consolidated Statements of Profit or Loss, FY2022 vs FY2021 (audited), 2022_con_quarter04_soi_1.pdf</t>
        </r>
      </text>
    </comment>
    <comment ref="D10" authorId="0" shapeId="0" xr:uid="{00000000-0006-0000-0100-00000C000000}">
      <text>
        <r>
          <rPr>
            <sz val="10"/>
            <rFont val="Arial"/>
            <family val="2"/>
          </rPr>
          <t>Source: Samsung Consolidated Statements of Profit or Loss, FY2024 vs FY2023 (audited), 2025_SEC_Consolidated_Financial_statements.pdf</t>
        </r>
      </text>
    </comment>
    <comment ref="E10" authorId="0" shapeId="0" xr:uid="{00000000-0006-0000-0100-000012000000}">
      <text>
        <r>
          <rPr>
            <sz val="10"/>
            <rFont val="Arial"/>
            <family val="2"/>
          </rPr>
          <t>Source: Samsung Consolidated Statements of Profit or Loss, FY2025 vs FY2024, 2025_con_quarter04_soi.pdf</t>
        </r>
      </text>
    </comment>
    <comment ref="F10" authorId="0" shapeId="0" xr:uid="{00000000-0006-0000-0100-000018000000}">
      <text>
        <r>
          <rPr>
            <sz val="10"/>
            <rFont val="Arial"/>
            <family val="2"/>
          </rPr>
          <t>Source: Samsung Consolidated Statements of Profit or Loss, FY2025 vs FY2024, 2025_con_quarter04_soi.pdf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5" authorId="0" shapeId="0" xr:uid="{00000000-0006-0000-0200-000001000000}">
      <text>
        <r>
          <rPr>
            <sz val="10"/>
            <rFont val="Arial"/>
            <family val="2"/>
          </rPr>
          <t>Source: Samsung Interim Consolidated Statements of Financial Position, March 31 2023 and 2022 (audited Dec 31, 2022 comparative column), 2023_con_quarter01_all.pdf</t>
        </r>
      </text>
    </comment>
    <comment ref="D5" authorId="0" shapeId="0" xr:uid="{00000000-0006-0000-0200-00000B000000}">
      <text>
        <r>
          <rPr>
            <sz val="10"/>
            <rFont val="Arial"/>
            <family val="2"/>
          </rPr>
          <t>Source: Samsung Consolidated Statements of Financial Position (audited/annual): 2023/2024 from 2025_SEC_Consolidated_Financial_statements.pdf; 2025/2024 from 2025_con_quarter04_bs.pdf</t>
        </r>
      </text>
    </comment>
    <comment ref="E5" authorId="0" shapeId="0" xr:uid="{00000000-0006-0000-0200-000015000000}">
      <text>
        <r>
          <rPr>
            <sz val="10"/>
            <rFont val="Arial"/>
            <family val="2"/>
          </rPr>
          <t>Source: Samsung Consolidated Statements of Financial Position (audited/annual): 2023/2024 from 2025_SEC_Consolidated_Financial_statements.pdf; 2025/2024 from 2025_con_quarter04_bs.pdf</t>
        </r>
      </text>
    </comment>
    <comment ref="F5" authorId="0" shapeId="0" xr:uid="{00000000-0006-0000-0200-00001F000000}">
      <text>
        <r>
          <rPr>
            <sz val="10"/>
            <rFont val="Arial"/>
            <family val="2"/>
          </rPr>
          <t>Source: Samsung Consolidated Statements of Financial Position (audited/annual): 2023/2024 from 2025_SEC_Consolidated_Financial_statements.pdf; 2025/2024 from 2025_con_quarter04_bs.pdf</t>
        </r>
      </text>
    </comment>
    <comment ref="C6" authorId="0" shapeId="0" xr:uid="{00000000-0006-0000-0200-000002000000}">
      <text>
        <r>
          <rPr>
            <sz val="10"/>
            <rFont val="Arial"/>
            <family val="2"/>
          </rPr>
          <t>Source: Samsung Interim Consolidated Statements of Financial Position, March 31 2023 and 2022 (audited Dec 31, 2022 comparative column), 2023_con_quarter01_all.pdf</t>
        </r>
      </text>
    </comment>
    <comment ref="D6" authorId="0" shapeId="0" xr:uid="{00000000-0006-0000-0200-00000C000000}">
      <text>
        <r>
          <rPr>
            <sz val="10"/>
            <rFont val="Arial"/>
            <family val="2"/>
          </rPr>
          <t>Source: Samsung Consolidated Statements of Financial Position (audited/annual): 2023/2024 from 2025_SEC_Consolidated_Financial_statements.pdf; 2025/2024 from 2025_con_quarter04_bs.pdf</t>
        </r>
      </text>
    </comment>
    <comment ref="E6" authorId="0" shapeId="0" xr:uid="{00000000-0006-0000-0200-000016000000}">
      <text>
        <r>
          <rPr>
            <sz val="10"/>
            <rFont val="Arial"/>
            <family val="2"/>
          </rPr>
          <t>Source: Samsung Consolidated Statements of Financial Position (audited/annual): 2023/2024 from 2025_SEC_Consolidated_Financial_statements.pdf; 2025/2024 from 2025_con_quarter04_bs.pdf</t>
        </r>
      </text>
    </comment>
    <comment ref="F6" authorId="0" shapeId="0" xr:uid="{00000000-0006-0000-0200-000020000000}">
      <text>
        <r>
          <rPr>
            <sz val="10"/>
            <rFont val="Arial"/>
            <family val="2"/>
          </rPr>
          <t>Source: Samsung Consolidated Statements of Financial Position (audited/annual): 2023/2024 from 2025_SEC_Consolidated_Financial_statements.pdf; 2025/2024 from 2025_con_quarter04_bs.pdf</t>
        </r>
      </text>
    </comment>
    <comment ref="C7" authorId="0" shapeId="0" xr:uid="{00000000-0006-0000-0200-000003000000}">
      <text>
        <r>
          <rPr>
            <sz val="10"/>
            <rFont val="Arial"/>
            <family val="2"/>
          </rPr>
          <t>Source: Samsung Interim Consolidated Statements of Financial Position, March 31 2023 and 2022 (audited Dec 31, 2022 comparative column), 2023_con_quarter01_all.pdf</t>
        </r>
      </text>
    </comment>
    <comment ref="D7" authorId="0" shapeId="0" xr:uid="{00000000-0006-0000-0200-00000D000000}">
      <text>
        <r>
          <rPr>
            <sz val="10"/>
            <rFont val="Arial"/>
            <family val="2"/>
          </rPr>
          <t>Source: Samsung Consolidated Statements of Financial Position (audited/annual): 2023/2024 from 2025_SEC_Consolidated_Financial_statements.pdf; 2025/2024 from 2025_con_quarter04_bs.pdf</t>
        </r>
      </text>
    </comment>
    <comment ref="E7" authorId="0" shapeId="0" xr:uid="{00000000-0006-0000-0200-000017000000}">
      <text>
        <r>
          <rPr>
            <sz val="10"/>
            <rFont val="Arial"/>
            <family val="2"/>
          </rPr>
          <t>Source: Samsung Consolidated Statements of Financial Position (audited/annual): 2023/2024 from 2025_SEC_Consolidated_Financial_statements.pdf; 2025/2024 from 2025_con_quarter04_bs.pdf</t>
        </r>
      </text>
    </comment>
    <comment ref="F7" authorId="0" shapeId="0" xr:uid="{00000000-0006-0000-0200-000021000000}">
      <text>
        <r>
          <rPr>
            <sz val="10"/>
            <rFont val="Arial"/>
            <family val="2"/>
          </rPr>
          <t>Source: Samsung Consolidated Statements of Financial Position (audited/annual): 2023/2024 from 2025_SEC_Consolidated_Financial_statements.pdf; 2025/2024 from 2025_con_quarter04_bs.pdf</t>
        </r>
      </text>
    </comment>
    <comment ref="C8" authorId="0" shapeId="0" xr:uid="{00000000-0006-0000-0200-000004000000}">
      <text>
        <r>
          <rPr>
            <sz val="10"/>
            <rFont val="Arial"/>
            <family val="2"/>
          </rPr>
          <t>Source: Samsung Interim Consolidated Statements of Financial Position, March 31 2023 and 2022 (audited Dec 31, 2022 comparative column), 2023_con_quarter01_all.pdf</t>
        </r>
      </text>
    </comment>
    <comment ref="D8" authorId="0" shapeId="0" xr:uid="{00000000-0006-0000-0200-00000E000000}">
      <text>
        <r>
          <rPr>
            <sz val="10"/>
            <rFont val="Arial"/>
            <family val="2"/>
          </rPr>
          <t>Source: Samsung Consolidated Statements of Financial Position (audited/annual): 2023/2024 from 2025_SEC_Consolidated_Financial_statements.pdf; 2025/2024 from 2025_con_quarter04_bs.pdf</t>
        </r>
      </text>
    </comment>
    <comment ref="E8" authorId="0" shapeId="0" xr:uid="{00000000-0006-0000-0200-000018000000}">
      <text>
        <r>
          <rPr>
            <sz val="10"/>
            <rFont val="Arial"/>
            <family val="2"/>
          </rPr>
          <t>Source: Samsung Consolidated Statements of Financial Position (audited/annual): 2023/2024 from 2025_SEC_Consolidated_Financial_statements.pdf; 2025/2024 from 2025_con_quarter04_bs.pdf</t>
        </r>
      </text>
    </comment>
    <comment ref="F8" authorId="0" shapeId="0" xr:uid="{00000000-0006-0000-0200-000022000000}">
      <text>
        <r>
          <rPr>
            <sz val="10"/>
            <rFont val="Arial"/>
            <family val="2"/>
          </rPr>
          <t>Source: Samsung Consolidated Statements of Financial Position (audited/annual): 2023/2024 from 2025_SEC_Consolidated_Financial_statements.pdf; 2025/2024 from 2025_con_quarter04_bs.pdf</t>
        </r>
      </text>
    </comment>
    <comment ref="C9" authorId="0" shapeId="0" xr:uid="{00000000-0006-0000-0200-000005000000}">
      <text>
        <r>
          <rPr>
            <sz val="10"/>
            <rFont val="Arial"/>
            <family val="2"/>
          </rPr>
          <t>Source: Samsung Interim Consolidated Statements of Financial Position, March 31 2023 and 2022 (audited Dec 31, 2022 comparative column), 2023_con_quarter01_all.pdf</t>
        </r>
      </text>
    </comment>
    <comment ref="D9" authorId="0" shapeId="0" xr:uid="{00000000-0006-0000-0200-00000F000000}">
      <text>
        <r>
          <rPr>
            <sz val="10"/>
            <rFont val="Arial"/>
            <family val="2"/>
          </rPr>
          <t>Source: Samsung Consolidated Statements of Financial Position (audited/annual): 2023/2024 from 2025_SEC_Consolidated_Financial_statements.pdf; 2025/2024 from 2025_con_quarter04_bs.pdf</t>
        </r>
      </text>
    </comment>
    <comment ref="E9" authorId="0" shapeId="0" xr:uid="{00000000-0006-0000-0200-000019000000}">
      <text>
        <r>
          <rPr>
            <sz val="10"/>
            <rFont val="Arial"/>
            <family val="2"/>
          </rPr>
          <t>Source: Samsung Consolidated Statements of Financial Position (audited/annual): 2023/2024 from 2025_SEC_Consolidated_Financial_statements.pdf; 2025/2024 from 2025_con_quarter04_bs.pdf</t>
        </r>
      </text>
    </comment>
    <comment ref="F9" authorId="0" shapeId="0" xr:uid="{00000000-0006-0000-0200-000023000000}">
      <text>
        <r>
          <rPr>
            <sz val="10"/>
            <rFont val="Arial"/>
            <family val="2"/>
          </rPr>
          <t>Source: Samsung Consolidated Statements of Financial Position (audited/annual): 2023/2024 from 2025_SEC_Consolidated_Financial_statements.pdf; 2025/2024 from 2025_con_quarter04_bs.pdf</t>
        </r>
      </text>
    </comment>
    <comment ref="C10" authorId="0" shapeId="0" xr:uid="{00000000-0006-0000-0200-000006000000}">
      <text>
        <r>
          <rPr>
            <sz val="10"/>
            <rFont val="Arial"/>
            <family val="2"/>
          </rPr>
          <t>Source: Samsung Interim Consolidated Statements of Financial Position, March 31 2023 and 2022 (audited Dec 31, 2022 comparative column), 2023_con_quarter01_all.pdf</t>
        </r>
      </text>
    </comment>
    <comment ref="D10" authorId="0" shapeId="0" xr:uid="{00000000-0006-0000-0200-000010000000}">
      <text>
        <r>
          <rPr>
            <sz val="10"/>
            <rFont val="Arial"/>
            <family val="2"/>
          </rPr>
          <t>Source: Samsung Consolidated Statements of Financial Position (audited/annual): 2023/2024 from 2025_SEC_Consolidated_Financial_statements.pdf; 2025/2024 from 2025_con_quarter04_bs.pdf</t>
        </r>
      </text>
    </comment>
    <comment ref="E10" authorId="0" shapeId="0" xr:uid="{00000000-0006-0000-0200-00001A000000}">
      <text>
        <r>
          <rPr>
            <sz val="10"/>
            <rFont val="Arial"/>
            <family val="2"/>
          </rPr>
          <t>Source: Samsung Consolidated Statements of Financial Position (audited/annual): 2023/2024 from 2025_SEC_Consolidated_Financial_statements.pdf; 2025/2024 from 2025_con_quarter04_bs.pdf</t>
        </r>
      </text>
    </comment>
    <comment ref="F10" authorId="0" shapeId="0" xr:uid="{00000000-0006-0000-0200-000024000000}">
      <text>
        <r>
          <rPr>
            <sz val="10"/>
            <rFont val="Arial"/>
            <family val="2"/>
          </rPr>
          <t>Source: Samsung Consolidated Statements of Financial Position (audited/annual): 2023/2024 from 2025_SEC_Consolidated_Financial_statements.pdf; 2025/2024 from 2025_con_quarter04_bs.pdf</t>
        </r>
      </text>
    </comment>
    <comment ref="C11" authorId="0" shapeId="0" xr:uid="{00000000-0006-0000-0200-000007000000}">
      <text>
        <r>
          <rPr>
            <sz val="10"/>
            <rFont val="Arial"/>
            <family val="2"/>
          </rPr>
          <t>Source: Samsung Interim Consolidated Statements of Financial Position, March 31 2023 and 2022 (audited Dec 31, 2022 comparative column), 2023_con_quarter01_all.pdf</t>
        </r>
      </text>
    </comment>
    <comment ref="D11" authorId="0" shapeId="0" xr:uid="{00000000-0006-0000-0200-000011000000}">
      <text>
        <r>
          <rPr>
            <sz val="10"/>
            <rFont val="Arial"/>
            <family val="2"/>
          </rPr>
          <t>Source: Samsung Consolidated Statements of Financial Position (audited/annual): 2023/2024 from 2025_SEC_Consolidated_Financial_statements.pdf; 2025/2024 from 2025_con_quarter04_bs.pdf</t>
        </r>
      </text>
    </comment>
    <comment ref="E11" authorId="0" shapeId="0" xr:uid="{00000000-0006-0000-0200-00001B000000}">
      <text>
        <r>
          <rPr>
            <sz val="10"/>
            <rFont val="Arial"/>
            <family val="2"/>
          </rPr>
          <t>Source: Samsung Consolidated Statements of Financial Position (audited/annual): 2023/2024 from 2025_SEC_Consolidated_Financial_statements.pdf; 2025/2024 from 2025_con_quarter04_bs.pdf</t>
        </r>
      </text>
    </comment>
    <comment ref="F11" authorId="0" shapeId="0" xr:uid="{00000000-0006-0000-0200-000025000000}">
      <text>
        <r>
          <rPr>
            <sz val="10"/>
            <rFont val="Arial"/>
            <family val="2"/>
          </rPr>
          <t>Source: Samsung Consolidated Statements of Financial Position (audited/annual): 2023/2024 from 2025_SEC_Consolidated_Financial_statements.pdf; 2025/2024 from 2025_con_quarter04_bs.pdf</t>
        </r>
      </text>
    </comment>
    <comment ref="C12" authorId="0" shapeId="0" xr:uid="{00000000-0006-0000-0200-000008000000}">
      <text>
        <r>
          <rPr>
            <sz val="10"/>
            <rFont val="Arial"/>
            <family val="2"/>
          </rPr>
          <t>Source: Samsung Interim Consolidated Statements of Financial Position, March 31 2023 and 2022 (audited Dec 31, 2022 comparative column), 2023_con_quarter01_all.pdf</t>
        </r>
      </text>
    </comment>
    <comment ref="D12" authorId="0" shapeId="0" xr:uid="{00000000-0006-0000-0200-000012000000}">
      <text>
        <r>
          <rPr>
            <sz val="10"/>
            <rFont val="Arial"/>
            <family val="2"/>
          </rPr>
          <t>Source: Samsung Consolidated Statements of Financial Position (audited/annual): 2023/2024 from 2025_SEC_Consolidated_Financial_statements.pdf; 2025/2024 from 2025_con_quarter04_bs.pdf</t>
        </r>
      </text>
    </comment>
    <comment ref="E12" authorId="0" shapeId="0" xr:uid="{00000000-0006-0000-0200-00001C000000}">
      <text>
        <r>
          <rPr>
            <sz val="10"/>
            <rFont val="Arial"/>
            <family val="2"/>
          </rPr>
          <t>Source: Samsung Consolidated Statements of Financial Position (audited/annual): 2023/2024 from 2025_SEC_Consolidated_Financial_statements.pdf; 2025/2024 from 2025_con_quarter04_bs.pdf</t>
        </r>
      </text>
    </comment>
    <comment ref="F12" authorId="0" shapeId="0" xr:uid="{00000000-0006-0000-0200-000026000000}">
      <text>
        <r>
          <rPr>
            <sz val="10"/>
            <rFont val="Arial"/>
            <family val="2"/>
          </rPr>
          <t>Source: Samsung Consolidated Statements of Financial Position (audited/annual): 2023/2024 from 2025_SEC_Consolidated_Financial_statements.pdf; 2025/2024 from 2025_con_quarter04_bs.pdf</t>
        </r>
      </text>
    </comment>
    <comment ref="C13" authorId="0" shapeId="0" xr:uid="{00000000-0006-0000-0200-000009000000}">
      <text>
        <r>
          <rPr>
            <sz val="10"/>
            <rFont val="Arial"/>
            <family val="2"/>
          </rPr>
          <t>Source: Samsung Interim Consolidated Statements of Financial Position, March 31 2023 and 2022 (audited Dec 31, 2022 comparative column), 2023_con_quarter01_all.pdf</t>
        </r>
      </text>
    </comment>
    <comment ref="D13" authorId="0" shapeId="0" xr:uid="{00000000-0006-0000-0200-000013000000}">
      <text>
        <r>
          <rPr>
            <sz val="10"/>
            <rFont val="Arial"/>
            <family val="2"/>
          </rPr>
          <t>Source: Samsung Consolidated Statements of Financial Position (audited/annual): 2023/2024 from 2025_SEC_Consolidated_Financial_statements.pdf; 2025/2024 from 2025_con_quarter04_bs.pdf</t>
        </r>
      </text>
    </comment>
    <comment ref="E13" authorId="0" shapeId="0" xr:uid="{00000000-0006-0000-0200-00001D000000}">
      <text>
        <r>
          <rPr>
            <sz val="10"/>
            <rFont val="Arial"/>
            <family val="2"/>
          </rPr>
          <t>Source: Samsung Consolidated Statements of Financial Position (audited/annual): 2023/2024 from 2025_SEC_Consolidated_Financial_statements.pdf; 2025/2024 from 2025_con_quarter04_bs.pdf</t>
        </r>
      </text>
    </comment>
    <comment ref="F13" authorId="0" shapeId="0" xr:uid="{00000000-0006-0000-0200-000027000000}">
      <text>
        <r>
          <rPr>
            <sz val="10"/>
            <rFont val="Arial"/>
            <family val="2"/>
          </rPr>
          <t>Source: Samsung Consolidated Statements of Financial Position (audited/annual): 2023/2024 from 2025_SEC_Consolidated_Financial_statements.pdf; 2025/2024 from 2025_con_quarter04_bs.pdf</t>
        </r>
      </text>
    </comment>
    <comment ref="C14" authorId="0" shapeId="0" xr:uid="{00000000-0006-0000-0200-00000A000000}">
      <text>
        <r>
          <rPr>
            <sz val="10"/>
            <rFont val="Arial"/>
            <family val="2"/>
          </rPr>
          <t>Source: Samsung Interim Consolidated Statements of Financial Position, March 31 2023 and 2022 (audited Dec 31, 2022 comparative column), 2023_con_quarter01_all.pdf</t>
        </r>
      </text>
    </comment>
    <comment ref="D14" authorId="0" shapeId="0" xr:uid="{00000000-0006-0000-0200-000014000000}">
      <text>
        <r>
          <rPr>
            <sz val="10"/>
            <rFont val="Arial"/>
            <family val="2"/>
          </rPr>
          <t>Source: Samsung Consolidated Statements of Financial Position (audited/annual): 2023/2024 from 2025_SEC_Consolidated_Financial_statements.pdf; 2025/2024 from 2025_con_quarter04_bs.pdf</t>
        </r>
      </text>
    </comment>
    <comment ref="E14" authorId="0" shapeId="0" xr:uid="{00000000-0006-0000-0200-00001E000000}">
      <text>
        <r>
          <rPr>
            <sz val="10"/>
            <rFont val="Arial"/>
            <family val="2"/>
          </rPr>
          <t>Source: Samsung Consolidated Statements of Financial Position (audited/annual): 2023/2024 from 2025_SEC_Consolidated_Financial_statements.pdf; 2025/2024 from 2025_con_quarter04_bs.pdf</t>
        </r>
      </text>
    </comment>
    <comment ref="F14" authorId="0" shapeId="0" xr:uid="{00000000-0006-0000-0200-000028000000}">
      <text>
        <r>
          <rPr>
            <sz val="10"/>
            <rFont val="Arial"/>
            <family val="2"/>
          </rPr>
          <t>Source: Samsung Consolidated Statements of Financial Position (audited/annual): 2023/2024 from 2025_SEC_Consolidated_Financial_statements.pdf; 2025/2024 from 2025_con_quarter04_bs.pdf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5" authorId="0" shapeId="0" xr:uid="{00000000-0006-0000-0300-000001000000}">
      <text>
        <r>
          <rPr>
            <sz val="10"/>
            <rFont val="Arial"/>
            <family val="2"/>
          </rPr>
          <t>Source: Samsung Consolidated Statements of Cash Flows, FY2022 vs FY2021 (audited annual filing), 2022_con_quarter04_cf.pdf</t>
        </r>
      </text>
    </comment>
    <comment ref="D5" authorId="0" shapeId="0" xr:uid="{00000000-0006-0000-0300-000006000000}">
      <text>
        <r>
          <rPr>
            <sz val="10"/>
            <rFont val="Arial"/>
            <family val="2"/>
          </rPr>
          <t>Source: Samsung Consolidated Statements of Cash Flows: 2023/2024 from 2025_SEC_Consolidated_Financial_statements.pdf; 2025/2024 from 2025_con_quarter04_cf.pdf</t>
        </r>
      </text>
    </comment>
    <comment ref="E5" authorId="0" shapeId="0" xr:uid="{00000000-0006-0000-0300-00000B000000}">
      <text>
        <r>
          <rPr>
            <sz val="10"/>
            <rFont val="Arial"/>
            <family val="2"/>
          </rPr>
          <t>Source: Samsung Consolidated Statements of Cash Flows: 2023/2024 from 2025_SEC_Consolidated_Financial_statements.pdf; 2025/2024 from 2025_con_quarter04_cf.pdf</t>
        </r>
      </text>
    </comment>
    <comment ref="F5" authorId="0" shapeId="0" xr:uid="{00000000-0006-0000-0300-000010000000}">
      <text>
        <r>
          <rPr>
            <sz val="10"/>
            <rFont val="Arial"/>
            <family val="2"/>
          </rPr>
          <t>Source: Samsung Consolidated Statements of Cash Flows: 2023/2024 from 2025_SEC_Consolidated_Financial_statements.pdf; 2025/2024 from 2025_con_quarter04_cf.pdf</t>
        </r>
      </text>
    </comment>
    <comment ref="C6" authorId="0" shapeId="0" xr:uid="{00000000-0006-0000-0300-000002000000}">
      <text>
        <r>
          <rPr>
            <sz val="10"/>
            <rFont val="Arial"/>
            <family val="2"/>
          </rPr>
          <t>Source: Samsung Consolidated Statements of Cash Flows, FY2022 vs FY2021 (audited annual filing), 2022_con_quarter04_cf.pdf</t>
        </r>
      </text>
    </comment>
    <comment ref="D6" authorId="0" shapeId="0" xr:uid="{00000000-0006-0000-0300-000007000000}">
      <text>
        <r>
          <rPr>
            <sz val="10"/>
            <rFont val="Arial"/>
            <family val="2"/>
          </rPr>
          <t>Source: Samsung Consolidated Statements of Cash Flows: 2023/2024 from 2025_SEC_Consolidated_Financial_statements.pdf; 2025/2024 from 2025_con_quarter04_cf.pdf</t>
        </r>
      </text>
    </comment>
    <comment ref="E6" authorId="0" shapeId="0" xr:uid="{00000000-0006-0000-0300-00000C000000}">
      <text>
        <r>
          <rPr>
            <sz val="10"/>
            <rFont val="Arial"/>
            <family val="2"/>
          </rPr>
          <t>Source: Samsung Consolidated Statements of Cash Flows: 2023/2024 from 2025_SEC_Consolidated_Financial_statements.pdf; 2025/2024 from 2025_con_quarter04_cf.pdf</t>
        </r>
      </text>
    </comment>
    <comment ref="F6" authorId="0" shapeId="0" xr:uid="{00000000-0006-0000-0300-000011000000}">
      <text>
        <r>
          <rPr>
            <sz val="10"/>
            <rFont val="Arial"/>
            <family val="2"/>
          </rPr>
          <t>Source: Samsung Consolidated Statements of Cash Flows: 2023/2024 from 2025_SEC_Consolidated_Financial_statements.pdf; 2025/2024 from 2025_con_quarter04_cf.pdf</t>
        </r>
      </text>
    </comment>
    <comment ref="C7" authorId="0" shapeId="0" xr:uid="{00000000-0006-0000-0300-000003000000}">
      <text>
        <r>
          <rPr>
            <sz val="10"/>
            <rFont val="Arial"/>
            <family val="2"/>
          </rPr>
          <t>Source: Samsung Consolidated Statements of Cash Flows, FY2022 vs FY2021 (audited annual filing), 2022_con_quarter04_cf.pdf</t>
        </r>
      </text>
    </comment>
    <comment ref="D7" authorId="0" shapeId="0" xr:uid="{00000000-0006-0000-0300-000008000000}">
      <text>
        <r>
          <rPr>
            <sz val="10"/>
            <rFont val="Arial"/>
            <family val="2"/>
          </rPr>
          <t>Source: Samsung Consolidated Statements of Cash Flows: 2023/2024 from 2025_SEC_Consolidated_Financial_statements.pdf; 2025/2024 from 2025_con_quarter04_cf.pdf</t>
        </r>
      </text>
    </comment>
    <comment ref="E7" authorId="0" shapeId="0" xr:uid="{00000000-0006-0000-0300-00000D000000}">
      <text>
        <r>
          <rPr>
            <sz val="10"/>
            <rFont val="Arial"/>
            <family val="2"/>
          </rPr>
          <t>Source: Samsung Consolidated Statements of Cash Flows: 2023/2024 from 2025_SEC_Consolidated_Financial_statements.pdf; 2025/2024 from 2025_con_quarter04_cf.pdf</t>
        </r>
      </text>
    </comment>
    <comment ref="F7" authorId="0" shapeId="0" xr:uid="{00000000-0006-0000-0300-000012000000}">
      <text>
        <r>
          <rPr>
            <sz val="10"/>
            <rFont val="Arial"/>
            <family val="2"/>
          </rPr>
          <t>Source: Samsung Consolidated Statements of Cash Flows: 2023/2024 from 2025_SEC_Consolidated_Financial_statements.pdf; 2025/2024 from 2025_con_quarter04_cf.pdf</t>
        </r>
      </text>
    </comment>
    <comment ref="C8" authorId="0" shapeId="0" xr:uid="{00000000-0006-0000-0300-000004000000}">
      <text>
        <r>
          <rPr>
            <sz val="10"/>
            <rFont val="Arial"/>
            <family val="2"/>
          </rPr>
          <t>Source: Samsung Consolidated Statements of Cash Flows, FY2022 vs FY2021 (audited annual filing), 2022_con_quarter04_cf.pdf</t>
        </r>
      </text>
    </comment>
    <comment ref="D8" authorId="0" shapeId="0" xr:uid="{00000000-0006-0000-0300-000009000000}">
      <text>
        <r>
          <rPr>
            <sz val="10"/>
            <rFont val="Arial"/>
            <family val="2"/>
          </rPr>
          <t>Source: Samsung Consolidated Statements of Cash Flows: 2023/2024 from 2025_SEC_Consolidated_Financial_statements.pdf; 2025/2024 from 2025_con_quarter04_cf.pdf</t>
        </r>
      </text>
    </comment>
    <comment ref="E8" authorId="0" shapeId="0" xr:uid="{00000000-0006-0000-0300-00000E000000}">
      <text>
        <r>
          <rPr>
            <sz val="10"/>
            <rFont val="Arial"/>
            <family val="2"/>
          </rPr>
          <t>Source: Samsung Consolidated Statements of Cash Flows: 2023/2024 from 2025_SEC_Consolidated_Financial_statements.pdf; 2025/2024 from 2025_con_quarter04_cf.pdf</t>
        </r>
      </text>
    </comment>
    <comment ref="F8" authorId="0" shapeId="0" xr:uid="{00000000-0006-0000-0300-000013000000}">
      <text>
        <r>
          <rPr>
            <sz val="10"/>
            <rFont val="Arial"/>
            <family val="2"/>
          </rPr>
          <t>Source: Samsung Consolidated Statements of Cash Flows: 2023/2024 from 2025_SEC_Consolidated_Financial_statements.pdf; 2025/2024 from 2025_con_quarter04_cf.pdf</t>
        </r>
      </text>
    </comment>
    <comment ref="C9" authorId="0" shapeId="0" xr:uid="{00000000-0006-0000-0300-000005000000}">
      <text>
        <r>
          <rPr>
            <sz val="10"/>
            <rFont val="Arial"/>
            <family val="2"/>
          </rPr>
          <t>Source: Samsung Consolidated Statements of Cash Flows, FY2022 vs FY2021 (audited annual filing), 2022_con_quarter04_cf.pdf</t>
        </r>
      </text>
    </comment>
    <comment ref="D9" authorId="0" shapeId="0" xr:uid="{00000000-0006-0000-0300-00000A000000}">
      <text>
        <r>
          <rPr>
            <sz val="10"/>
            <rFont val="Arial"/>
            <family val="2"/>
          </rPr>
          <t>Source: Samsung Consolidated Statements of Cash Flows: 2023/2024 from 2025_SEC_Consolidated_Financial_statements.pdf; 2025/2024 from 2025_con_quarter04_cf.pdf</t>
        </r>
      </text>
    </comment>
    <comment ref="E9" authorId="0" shapeId="0" xr:uid="{00000000-0006-0000-0300-00000F000000}">
      <text>
        <r>
          <rPr>
            <sz val="10"/>
            <rFont val="Arial"/>
            <family val="2"/>
          </rPr>
          <t>Source: Samsung Consolidated Statements of Cash Flows: 2023/2024 from 2025_SEC_Consolidated_Financial_statements.pdf; 2025/2024 from 2025_con_quarter04_cf.pdf</t>
        </r>
      </text>
    </comment>
    <comment ref="F9" authorId="0" shapeId="0" xr:uid="{00000000-0006-0000-0300-000014000000}">
      <text>
        <r>
          <rPr>
            <sz val="10"/>
            <rFont val="Arial"/>
            <family val="2"/>
          </rPr>
          <t>Source: Samsung Consolidated Statements of Cash Flows: 2023/2024 from 2025_SEC_Consolidated_Financial_statements.pdf; 2025/2024 from 2025_con_quarter04_cf.pdf</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dipty kabir</author>
    <author>Unknown Author</author>
  </authors>
  <commentList>
    <comment ref="C5" authorId="0" shapeId="0" xr:uid="{8F6CB4FB-0CAE-4AC1-8D11-86A3D32352BA}">
      <text>
        <r>
          <rPr>
            <sz val="11"/>
            <color theme="1"/>
            <rFont val="Calibri"/>
            <family val="2"/>
            <charset val="1"/>
          </rPr>
          <t>Source: Samsung Sustainability 'Facts &amp; Figures' — Sales by Division (absolute value)</t>
        </r>
      </text>
    </comment>
    <comment ref="D5" authorId="1" shapeId="0" xr:uid="{00000000-0006-0000-0400-000001000000}">
      <text>
        <r>
          <rPr>
            <sz val="10"/>
            <rFont val="Arial"/>
            <family val="2"/>
          </rPr>
          <t>Source: Samsung Sustainability 'Facts &amp; Figures' — Sales by Division (absolute value)</t>
        </r>
      </text>
    </comment>
    <comment ref="E5" authorId="1" shapeId="0" xr:uid="{00000000-0006-0000-0400-000005000000}">
      <text>
        <r>
          <rPr>
            <sz val="10"/>
            <rFont val="Arial"/>
            <family val="2"/>
          </rPr>
          <t>Source: Samsung Sustainability 'Facts &amp; Figures' — Sales by Division (absolute value)</t>
        </r>
      </text>
    </comment>
    <comment ref="F5" authorId="1" shapeId="0" xr:uid="{00000000-0006-0000-0400-000009000000}">
      <text>
        <r>
          <rPr>
            <sz val="10"/>
            <rFont val="Arial"/>
            <family val="2"/>
          </rPr>
          <t>Source: Samsung Sustainability 'Facts &amp; Figures' — Sales by Division (absolute value)</t>
        </r>
      </text>
    </comment>
    <comment ref="C6" authorId="0" shapeId="0" xr:uid="{757DBAB3-9268-46D6-87B9-798A506CBA11}">
      <text>
        <r>
          <rPr>
            <sz val="11"/>
            <color theme="1"/>
            <rFont val="Calibri"/>
            <family val="2"/>
            <charset val="1"/>
          </rPr>
          <t>Source: Samsung Sustainability 'Facts &amp; Figures' — Sales by Division (absolute value)</t>
        </r>
      </text>
    </comment>
    <comment ref="D6" authorId="1" shapeId="0" xr:uid="{00000000-0006-0000-0400-000002000000}">
      <text>
        <r>
          <rPr>
            <sz val="10"/>
            <rFont val="Arial"/>
            <family val="2"/>
          </rPr>
          <t>Source: Samsung Sustainability 'Facts &amp; Figures' — Sales by Division (absolute value)</t>
        </r>
      </text>
    </comment>
    <comment ref="E6" authorId="1" shapeId="0" xr:uid="{00000000-0006-0000-0400-000006000000}">
      <text>
        <r>
          <rPr>
            <sz val="10"/>
            <rFont val="Arial"/>
            <family val="2"/>
          </rPr>
          <t>Source: Samsung Sustainability 'Facts &amp; Figures' — Sales by Division (absolute value)</t>
        </r>
      </text>
    </comment>
    <comment ref="F6" authorId="1" shapeId="0" xr:uid="{00000000-0006-0000-0400-00000A000000}">
      <text>
        <r>
          <rPr>
            <sz val="10"/>
            <rFont val="Arial"/>
            <family val="2"/>
          </rPr>
          <t>Source: Samsung Sustainability 'Facts &amp; Figures' — Sales by Division (absolute value)</t>
        </r>
      </text>
    </comment>
    <comment ref="C7" authorId="0" shapeId="0" xr:uid="{5E3D4F75-0F84-4643-AA6A-28DC47D63F97}">
      <text>
        <r>
          <rPr>
            <sz val="11"/>
            <color theme="1"/>
            <rFont val="Calibri"/>
            <family val="2"/>
            <charset val="1"/>
          </rPr>
          <t>Source: Samsung Sustainability 'Facts &amp; Figures' — Sales by Division (absolute value)</t>
        </r>
      </text>
    </comment>
    <comment ref="D7" authorId="1" shapeId="0" xr:uid="{00000000-0006-0000-0400-000003000000}">
      <text>
        <r>
          <rPr>
            <sz val="10"/>
            <rFont val="Arial"/>
            <family val="2"/>
          </rPr>
          <t>Source: Samsung Sustainability 'Facts &amp; Figures' — Sales by Division (absolute value)</t>
        </r>
      </text>
    </comment>
    <comment ref="E7" authorId="1" shapeId="0" xr:uid="{00000000-0006-0000-0400-000007000000}">
      <text>
        <r>
          <rPr>
            <sz val="10"/>
            <rFont val="Arial"/>
            <family val="2"/>
          </rPr>
          <t>Source: Samsung Sustainability 'Facts &amp; Figures' — Sales by Division (absolute value)</t>
        </r>
      </text>
    </comment>
    <comment ref="F7" authorId="1" shapeId="0" xr:uid="{00000000-0006-0000-0400-00000B000000}">
      <text>
        <r>
          <rPr>
            <sz val="10"/>
            <rFont val="Arial"/>
            <family val="2"/>
          </rPr>
          <t>Source: Samsung Sustainability 'Facts &amp; Figures' — Sales by Division (absolute value)</t>
        </r>
      </text>
    </comment>
    <comment ref="C8" authorId="0" shapeId="0" xr:uid="{837DBAFC-99A9-4EF2-958D-C45549F415B4}">
      <text>
        <r>
          <rPr>
            <sz val="11"/>
            <color theme="1"/>
            <rFont val="Calibri"/>
            <family val="2"/>
            <charset val="1"/>
          </rPr>
          <t>Source: Samsung Sustainability 'Facts &amp; Figures' — Sales by Division (absolute value)</t>
        </r>
      </text>
    </comment>
    <comment ref="D8" authorId="1" shapeId="0" xr:uid="{00000000-0006-0000-0400-000004000000}">
      <text>
        <r>
          <rPr>
            <sz val="10"/>
            <rFont val="Arial"/>
            <family val="2"/>
          </rPr>
          <t>Source: Samsung Sustainability 'Facts &amp; Figures' — Sales by Division (absolute value)</t>
        </r>
      </text>
    </comment>
    <comment ref="E8" authorId="1" shapeId="0" xr:uid="{00000000-0006-0000-0400-000008000000}">
      <text>
        <r>
          <rPr>
            <sz val="10"/>
            <rFont val="Arial"/>
            <family val="2"/>
          </rPr>
          <t>Source: Samsung Sustainability 'Facts &amp; Figures' — Sales by Division (absolute value)</t>
        </r>
      </text>
    </comment>
    <comment ref="F8" authorId="1" shapeId="0" xr:uid="{00000000-0006-0000-0400-00000C000000}">
      <text>
        <r>
          <rPr>
            <sz val="10"/>
            <rFont val="Arial"/>
            <family val="2"/>
          </rPr>
          <t>Source: Samsung Sustainability 'Facts &amp; Figures' — Sales by Division (absolute value)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dipty kabir</author>
    <author>Unknown Author</author>
  </authors>
  <commentList>
    <comment ref="C5" authorId="0" shapeId="0" xr:uid="{A6892CB7-040D-4AFF-82E3-0AECFE801B67}">
      <text>
        <r>
          <rPr>
            <sz val="11"/>
            <color theme="1"/>
            <rFont val="Calibri"/>
            <family val="2"/>
            <charset val="1"/>
          </rPr>
          <t>Source: Samsung Sustainability 'Facts &amp; Figures' — Sales by Region (absolute value)</t>
        </r>
      </text>
    </comment>
    <comment ref="D5" authorId="1" shapeId="0" xr:uid="{00000000-0006-0000-0500-000001000000}">
      <text>
        <r>
          <rPr>
            <sz val="10"/>
            <rFont val="Arial"/>
            <family val="2"/>
          </rPr>
          <t>Source: Samsung Sustainability 'Facts &amp; Figures' — Sales by Region (absolute value)</t>
        </r>
      </text>
    </comment>
    <comment ref="E5" authorId="1" shapeId="0" xr:uid="{00000000-0006-0000-0500-000005000000}">
      <text>
        <r>
          <rPr>
            <sz val="10"/>
            <rFont val="Arial"/>
            <family val="2"/>
          </rPr>
          <t>Source: Samsung Sustainability 'Facts &amp; Figures' — Sales by Region (absolute value)</t>
        </r>
      </text>
    </comment>
    <comment ref="F5" authorId="1" shapeId="0" xr:uid="{00000000-0006-0000-0500-000009000000}">
      <text>
        <r>
          <rPr>
            <sz val="10"/>
            <rFont val="Arial"/>
            <family val="2"/>
          </rPr>
          <t>Source: Samsung Sustainability 'Facts &amp; Figures' — Sales by Region (absolute value)</t>
        </r>
      </text>
    </comment>
    <comment ref="C6" authorId="0" shapeId="0" xr:uid="{711EDAF5-EFE3-400C-B28D-AE0557496222}">
      <text>
        <r>
          <rPr>
            <sz val="11"/>
            <color theme="1"/>
            <rFont val="Calibri"/>
            <family val="2"/>
            <charset val="1"/>
          </rPr>
          <t>Source: Samsung Sustainability 'Facts &amp; Figures' — Sales by Region (absolute value)</t>
        </r>
      </text>
    </comment>
    <comment ref="D6" authorId="1" shapeId="0" xr:uid="{00000000-0006-0000-0500-000002000000}">
      <text>
        <r>
          <rPr>
            <sz val="10"/>
            <rFont val="Arial"/>
            <family val="2"/>
          </rPr>
          <t>Source: Samsung Sustainability 'Facts &amp; Figures' — Sales by Region (absolute value)</t>
        </r>
      </text>
    </comment>
    <comment ref="E6" authorId="1" shapeId="0" xr:uid="{00000000-0006-0000-0500-000006000000}">
      <text>
        <r>
          <rPr>
            <sz val="10"/>
            <rFont val="Arial"/>
            <family val="2"/>
          </rPr>
          <t>Source: Samsung Sustainability 'Facts &amp; Figures' — Sales by Region (absolute value)</t>
        </r>
      </text>
    </comment>
    <comment ref="F6" authorId="1" shapeId="0" xr:uid="{00000000-0006-0000-0500-00000A000000}">
      <text>
        <r>
          <rPr>
            <sz val="10"/>
            <rFont val="Arial"/>
            <family val="2"/>
          </rPr>
          <t>Source: Samsung Sustainability 'Facts &amp; Figures' — Sales by Region (absolute value)</t>
        </r>
      </text>
    </comment>
    <comment ref="C7" authorId="0" shapeId="0" xr:uid="{5471331E-55EC-4D6F-B295-0B319A1010A7}">
      <text>
        <r>
          <rPr>
            <sz val="11"/>
            <color theme="1"/>
            <rFont val="Calibri"/>
            <family val="2"/>
            <charset val="1"/>
          </rPr>
          <t>Source: Samsung Sustainability 'Facts &amp; Figures' — Sales by Region (absolute value)</t>
        </r>
      </text>
    </comment>
    <comment ref="D7" authorId="1" shapeId="0" xr:uid="{00000000-0006-0000-0500-000003000000}">
      <text>
        <r>
          <rPr>
            <sz val="10"/>
            <rFont val="Arial"/>
            <family val="2"/>
          </rPr>
          <t>Source: Samsung Sustainability 'Facts &amp; Figures' — Sales by Region (absolute value)</t>
        </r>
      </text>
    </comment>
    <comment ref="E7" authorId="1" shapeId="0" xr:uid="{00000000-0006-0000-0500-000007000000}">
      <text>
        <r>
          <rPr>
            <sz val="10"/>
            <rFont val="Arial"/>
            <family val="2"/>
          </rPr>
          <t>Source: Samsung Sustainability 'Facts &amp; Figures' — Sales by Region (absolute value)</t>
        </r>
      </text>
    </comment>
    <comment ref="F7" authorId="1" shapeId="0" xr:uid="{00000000-0006-0000-0500-00000B000000}">
      <text>
        <r>
          <rPr>
            <sz val="10"/>
            <rFont val="Arial"/>
            <family val="2"/>
          </rPr>
          <t>Source: Samsung Sustainability 'Facts &amp; Figures' — Sales by Region (absolute value)</t>
        </r>
      </text>
    </comment>
    <comment ref="C8" authorId="0" shapeId="0" xr:uid="{429F0186-AECB-44A4-89EA-2F5BC14BF05B}">
      <text>
        <r>
          <rPr>
            <sz val="11"/>
            <color theme="1"/>
            <rFont val="Calibri"/>
            <family val="2"/>
            <charset val="1"/>
          </rPr>
          <t>Source: Samsung Sustainability 'Facts &amp; Figures' — Sales by Region (absolute value)</t>
        </r>
      </text>
    </comment>
    <comment ref="D8" authorId="1" shapeId="0" xr:uid="{00000000-0006-0000-0500-000004000000}">
      <text>
        <r>
          <rPr>
            <sz val="10"/>
            <rFont val="Arial"/>
            <family val="2"/>
          </rPr>
          <t>Source: Samsung Sustainability 'Facts &amp; Figures' — Sales by Region (absolute value)</t>
        </r>
      </text>
    </comment>
    <comment ref="E8" authorId="1" shapeId="0" xr:uid="{00000000-0006-0000-0500-000008000000}">
      <text>
        <r>
          <rPr>
            <sz val="10"/>
            <rFont val="Arial"/>
            <family val="2"/>
          </rPr>
          <t>Source: Samsung Sustainability 'Facts &amp; Figures' — Sales by Region (absolute value)</t>
        </r>
      </text>
    </comment>
    <comment ref="F8" authorId="1" shapeId="0" xr:uid="{00000000-0006-0000-0500-00000C000000}">
      <text>
        <r>
          <rPr>
            <sz val="10"/>
            <rFont val="Arial"/>
            <family val="2"/>
          </rPr>
          <t>Source: Samsung Sustainability 'Facts &amp; Figures' — Sales by Region (absolute value)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1" authorId="0" shapeId="0" xr:uid="{00000000-0006-0000-0700-000001000000}">
      <text>
        <r>
          <rPr>
            <sz val="11"/>
            <color theme="1"/>
            <rFont val="Calibri"/>
            <family val="2"/>
            <charset val="1"/>
          </rPr>
          <t>Uses year-end assets rather than the average of beginning/ending balances (a common alternative convention)</t>
        </r>
      </text>
    </comment>
  </commentList>
</comments>
</file>

<file path=xl/sharedStrings.xml><?xml version="1.0" encoding="utf-8"?>
<sst xmlns="http://schemas.openxmlformats.org/spreadsheetml/2006/main" count="247" uniqueCount="126">
  <si>
    <t>Samsung Electronics Co., Ltd. — Financial Analysis Portfolio</t>
  </si>
  <si>
    <t>Consolidated financial data &amp; analysis, FY2022–FY2025 (KRW millions unless noted) — source-cited</t>
  </si>
  <si>
    <t>Purpose</t>
  </si>
  <si>
    <t>Financial analysis(Financial Portfolio): Raw data, common-size statements, ratio analysis, growth analysis, segment/geographic breakdowns and a dashboard, built from Samsung's official IR disclosures.</t>
  </si>
  <si>
    <t>Currency</t>
  </si>
  <si>
    <t>Korean Won (KRW), in millions, as reported in Samsung's audited/reviewed consolidated financial statements, unless a sheet states otherwise (segment/geographic sales are in KRW trillion, matching Samsung's own Facts &amp; Figures disclosure).</t>
  </si>
  <si>
    <t>Scope</t>
  </si>
  <si>
    <t>FY2022-FY2025, complete across income statement, balance sheet and cash flow for all four years. The FY2022 balance sheet and cash flow were the hardest to source, they're drawn from the Dec 31, 2022 comparative column inside Samsung's Q1 2023 interim filing (balance sheet) and from Samsung's Korean-language FY2022 annual filing (cash flow), since the English-language annual FY2022 report wasn't found at its usual archive URL in this pass. Both cross-checked cleanly against the income statement (FY2022 net income of KRW 55,654,077 million and year-end cash of KRW 49,680,710 million match across all three source documents).</t>
  </si>
  <si>
    <t>Conventions</t>
  </si>
  <si>
    <t>Blue text = hardcoded source data (input, cell comment shows exact source). Black text = formula computed on the same sheet. Green text = formula linking to another sheet. All ratios use year-end (not average) balances for consistency across all four years.</t>
  </si>
  <si>
    <t>Workbook map</t>
  </si>
  <si>
    <t>01_Income_Statement · 02_Balance_Sheet · 03_Cash_Flow · 04_Segment_Analysis · 05_Geographic_Analysis · 06_Common_Size · 07_Ratios · 08_Growth_Analysis · 09_Dashboard</t>
  </si>
  <si>
    <t>Source documents used</t>
  </si>
  <si>
    <t>• Samsung Electronics — Consolidated Financial Statements, December 31, 2024 and 2023 (audited), https://images.samsung.com/is/content/samsung/assets/global/ir/docs/2025_SEC_Consolidated_Financial_statements.pdf</t>
  </si>
  <si>
    <t>• Samsung Electronics — Consolidated Statements of Financial Position / Profit or Loss / Cash Flows, Dec 31, 2025 and 2024, https://images.samsung.com/is/content/samsung/assets/global/ir/docs/2025_con_quarter04_bs.pdf, _soi.pdf, _cf.pdf</t>
  </si>
  <si>
    <t>• Samsung Electronics — Consolidated Statements of Profit or Loss, December 31, 2022 and 2021 (audited), https://images.samsung.com/is/content/samsung/assets/global/ir/docs/2022_con_quarter04_soi_1.pdf</t>
  </si>
  <si>
    <t>• Samsung Electronics — Interim Consolidated Financial Statements, March 31 2023 and 2022 (Dec 31, 2022 balance sheet comparative column, audited), https://images.samsung.com/is/content/samsung/assets/global/ir/docs/2023_con_quarter01_all.pdf</t>
  </si>
  <si>
    <t>• Samsung Electronics — Consolidated Statements of Cash Flows (Korean), FY2022 and FY2021, https://images.samsung.com/kdp/ir/financial-info/2022/2022_con_quarter04_cf.pdf</t>
  </si>
  <si>
    <t>• Samsung Electronics — Sustainability 'Facts &amp; Figures' (Sales by Division, Sales by Region), https://www.samsung.com/global/sustainability/digital-library/facts-figures/</t>
  </si>
  <si>
    <t>Consolidated Income Statement</t>
  </si>
  <si>
    <t>KRW millions, as reported. Source: Samsung audited/reviewed consolidated financial statements.</t>
  </si>
  <si>
    <t>Line item</t>
  </si>
  <si>
    <t>2022</t>
  </si>
  <si>
    <t>2023</t>
  </si>
  <si>
    <t>2024</t>
  </si>
  <si>
    <t>2025</t>
  </si>
  <si>
    <t>Unit</t>
  </si>
  <si>
    <t>Revenue</t>
  </si>
  <si>
    <t>KRW millions</t>
  </si>
  <si>
    <t>Cost of sales</t>
  </si>
  <si>
    <t>Gross profit</t>
  </si>
  <si>
    <t>Selling &amp; admin. expenses (OpEx)</t>
  </si>
  <si>
    <t>Operating profit</t>
  </si>
  <si>
    <t>Profit for the year (Net income)</t>
  </si>
  <si>
    <t>Raw-data table (KRW trillion)</t>
  </si>
  <si>
    <t>Year</t>
  </si>
  <si>
    <t>COGS</t>
  </si>
  <si>
    <t>Gross Profit</t>
  </si>
  <si>
    <t>OpEx</t>
  </si>
  <si>
    <t>Operating Profit</t>
  </si>
  <si>
    <t>Net Income</t>
  </si>
  <si>
    <t>Consolidated Balance Sheet</t>
  </si>
  <si>
    <t>KRW millions, as of December 31 each year. Source: Samsung audited/reviewed consolidated financial statements.</t>
  </si>
  <si>
    <t>Total current assets</t>
  </si>
  <si>
    <t>Cash and cash equivalents</t>
  </si>
  <si>
    <t>Trade receivables</t>
  </si>
  <si>
    <t>Inventories</t>
  </si>
  <si>
    <t>Total non-current assets</t>
  </si>
  <si>
    <t>Total assets</t>
  </si>
  <si>
    <t>Total current liabilities</t>
  </si>
  <si>
    <t>Total non-current liabilities</t>
  </si>
  <si>
    <t>Total liabilities</t>
  </si>
  <si>
    <t>Total equity</t>
  </si>
  <si>
    <t>Consolidated Cash Flow Statement</t>
  </si>
  <si>
    <t>KRW millions, for the year ended December 31. Source: Samsung audited/reviewed consolidated financial statements.</t>
  </si>
  <si>
    <t>Net cash provided by operating activities</t>
  </si>
  <si>
    <t>Net cash used in investing activities</t>
  </si>
  <si>
    <t>Acquisition of property, plant &amp; equipment (Capex)</t>
  </si>
  <si>
    <t>Net cash used in financing activities</t>
  </si>
  <si>
    <t>Cash and cash equivalents, end of year</t>
  </si>
  <si>
    <t>Free Cash Flow (Operating CF − Capex)</t>
  </si>
  <si>
    <t>Business Segment Sales Revenue</t>
  </si>
  <si>
    <t>KRW trillion, net sales by division. Source: Samsung Sustainability 'Facts &amp; Figures'.</t>
  </si>
  <si>
    <t>Division</t>
  </si>
  <si>
    <t>DX Division</t>
  </si>
  <si>
    <t>KRW trillion</t>
  </si>
  <si>
    <t>DS Division</t>
  </si>
  <si>
    <t>SDC</t>
  </si>
  <si>
    <t>Harman</t>
  </si>
  <si>
    <t>Total (sum of divisions)</t>
  </si>
  <si>
    <t>Segment mix (% of total sales revenue)</t>
  </si>
  <si>
    <t>Sales by Region</t>
  </si>
  <si>
    <t>KRW trillion, net sales by region. Source: Samsung Sustainability 'Facts &amp; Figures'.</t>
  </si>
  <si>
    <t>Region</t>
  </si>
  <si>
    <t>Americas</t>
  </si>
  <si>
    <t>Europe</t>
  </si>
  <si>
    <t>Korea</t>
  </si>
  <si>
    <t>Asia and Africa</t>
  </si>
  <si>
    <t>Total (sum of regions)</t>
  </si>
  <si>
    <t>Regional mix (% of total sales)</t>
  </si>
  <si>
    <t>Common-Size Income Statement</t>
  </si>
  <si>
    <t>Each line item as a percentage of Revenue. All values are formulas referencing 01_Income_Statement.</t>
  </si>
  <si>
    <t>Reading this: Samsung's cost structure loosened sharply in FY2023 (gross margin fell to ~30% as memory prices collapsed) before recovering through FY2024–FY2025.</t>
  </si>
  <si>
    <t>Ratio Analysis</t>
  </si>
  <si>
    <t>Profitability, liquidity, leverage and efficiency ratios. Formulas reference 01_Income_Statement, 02_Balance_Sheet and 03_Cash_Flow.</t>
  </si>
  <si>
    <t>Metric</t>
  </si>
  <si>
    <t>Profitability</t>
  </si>
  <si>
    <t>Gross margin</t>
  </si>
  <si>
    <t>Operating margin</t>
  </si>
  <si>
    <t>Net margin</t>
  </si>
  <si>
    <t>Return on assets (Net income / Total assets)</t>
  </si>
  <si>
    <t>Return on equity (Net income / Total equity)</t>
  </si>
  <si>
    <t>Liquidity</t>
  </si>
  <si>
    <t>Current ratio (Current assets / Current liabilities)</t>
  </si>
  <si>
    <t>Quick ratio ((Current assets − Inventories) / Current liabilities)</t>
  </si>
  <si>
    <t>Leverage</t>
  </si>
  <si>
    <t>Debt-to-assets (Total liabilities / Total assets)</t>
  </si>
  <si>
    <t>Debt-to-equity (Total liabilities / Total equity)</t>
  </si>
  <si>
    <t>Efficiency</t>
  </si>
  <si>
    <t>Asset turnover (Revenue / Total assets, year-end)</t>
  </si>
  <si>
    <t>Inventory turnover (COGS / Inventory, year-end)</t>
  </si>
  <si>
    <t>Receivables turnover (Revenue / Trade receivables, year-end)</t>
  </si>
  <si>
    <t>Growth Analysis (Year-over-Year)</t>
  </si>
  <si>
    <t>Formulas referencing 01_Income_Statement, 02_Balance_Sheet, 03_Cash_Flow and 04_Segment_Analysis.</t>
  </si>
  <si>
    <t>Income statement growth</t>
  </si>
  <si>
    <t>Revenue growth</t>
  </si>
  <si>
    <t>n/a</t>
  </si>
  <si>
    <t>Gross profit growth</t>
  </si>
  <si>
    <t>Operating profit growth</t>
  </si>
  <si>
    <t>Net income growth</t>
  </si>
  <si>
    <t>Balance sheet growth</t>
  </si>
  <si>
    <t>Total assets growth</t>
  </si>
  <si>
    <t>Total equity growth</t>
  </si>
  <si>
    <t>Segment sales growth (2022 is the base year)</t>
  </si>
  <si>
    <t>DX Division sales growth</t>
  </si>
  <si>
    <t>DS Division sales growth</t>
  </si>
  <si>
    <t>SDC sales growth</t>
  </si>
  <si>
    <t>Harman sales growth</t>
  </si>
  <si>
    <t>Samsung Electronics — Financial Dashboard</t>
  </si>
  <si>
    <t>KRW trillion unless noted. All figures link to the source sheets.</t>
  </si>
  <si>
    <t>Revenue (FY2025)</t>
  </si>
  <si>
    <t>Operating Profit (FY2025)</t>
  </si>
  <si>
    <t>Net Income (FY2025)</t>
  </si>
  <si>
    <t>Net Margin (FY2025)</t>
  </si>
  <si>
    <t>Net income</t>
  </si>
  <si>
    <t>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</si>
</sst>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
    <numFmt numFmtId="167" formatCode="0.00\x"/>
    <numFmt numFmtId="168" formatCode="0.0"/>
    <numFmt numFmtId="169" formatCode="0.0%"/>
  </numFmts>
  <fonts count="16">
    <font>
      <sz val="11"/>
      <color theme="1"/>
      <name val="Calibri"/>
      <family val="2"/>
      <charset val="1"/>
    </font>
    <font>
      <b/>
      <sz val="14"/>
      <name val="Arial"/>
      <charset val="1"/>
    </font>
    <font>
      <b/>
      <i/>
      <sz val="11"/>
      <name val="Arial"/>
      <charset val="1"/>
    </font>
    <font>
      <b/>
      <sz val="11"/>
      <name val="Arial"/>
      <charset val="1"/>
    </font>
    <font>
      <i/>
      <sz val="9"/>
      <color rgb="FF666666"/>
      <name val="Arial"/>
      <charset val="1"/>
    </font>
    <font>
      <b/>
      <sz val="11"/>
      <color rgb="FFFFFFFF"/>
      <name val="Arial"/>
      <charset val="1"/>
    </font>
    <font>
      <sz val="11"/>
      <color rgb="FF0000FF"/>
      <name val="Arial"/>
      <charset val="1"/>
    </font>
    <font>
      <sz val="11"/>
      <color rgb="FF000000"/>
      <name val="Arial"/>
      <charset val="1"/>
    </font>
    <font>
      <sz val="10"/>
      <name val="Arial"/>
      <family val="2"/>
    </font>
    <font>
      <i/>
      <sz val="11"/>
      <name val="Arial"/>
      <charset val="1"/>
    </font>
    <font>
      <sz val="11"/>
      <color rgb="FF008000"/>
      <name val="Arial"/>
      <charset val="1"/>
    </font>
    <font>
      <sz val="10"/>
      <color rgb="FF666666"/>
      <name val="Arial"/>
      <charset val="1"/>
    </font>
    <font>
      <b/>
      <sz val="18"/>
      <color rgb="FF1F4E78"/>
      <name val="Arial"/>
      <charset val="1"/>
    </font>
    <font>
      <b/>
      <sz val="11"/>
      <color rgb="FF000000"/>
      <name val="Arial"/>
      <charset val="1"/>
    </font>
    <font>
      <sz val="11"/>
      <color rgb="FF0000FF"/>
      <name val="Arial"/>
    </font>
    <font>
      <sz val="11"/>
      <name val="Arial"/>
      <charset val="1"/>
    </font>
  </fonts>
  <fills count="6">
    <fill>
      <patternFill patternType="none"/>
    </fill>
    <fill>
      <patternFill patternType="gray125"/>
    </fill>
    <fill>
      <patternFill patternType="solid">
        <fgColor rgb="FFD9E1F2"/>
        <bgColor rgb="FFD9D9D9"/>
      </patternFill>
    </fill>
    <fill>
      <patternFill patternType="solid">
        <fgColor rgb="FFF2F2F2"/>
        <bgColor rgb="FFF9F9F9"/>
      </patternFill>
    </fill>
    <fill>
      <patternFill patternType="solid">
        <fgColor rgb="FF1D67A8"/>
        <bgColor indexed="64"/>
      </patternFill>
    </fill>
    <fill>
      <patternFill patternType="solid">
        <fgColor theme="0"/>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medium">
        <color rgb="FF1F4E78"/>
      </left>
      <right style="medium">
        <color rgb="FF1F4E78"/>
      </right>
      <top style="medium">
        <color rgb="FF1F4E78"/>
      </top>
      <bottom style="medium">
        <color rgb="FF1F4E78"/>
      </bottom>
      <diagonal/>
    </border>
    <border>
      <left/>
      <right style="thin">
        <color rgb="FFBFBFBF"/>
      </right>
      <top style="thin">
        <color rgb="FFBFBFBF"/>
      </top>
      <bottom style="thin">
        <color rgb="FFBFBFBF"/>
      </bottom>
      <diagonal/>
    </border>
    <border>
      <left style="thin">
        <color rgb="FFE0E0E0"/>
      </left>
      <right style="thin">
        <color rgb="FFE0E0E0"/>
      </right>
      <top style="thin">
        <color rgb="FFE0E0E0"/>
      </top>
      <bottom style="thin">
        <color rgb="FFE0E0E0"/>
      </bottom>
      <diagonal/>
    </border>
    <border>
      <left/>
      <right/>
      <top/>
      <bottom style="thin">
        <color rgb="FFBFBFBF"/>
      </bottom>
      <diagonal/>
    </border>
    <border>
      <left style="thin">
        <color rgb="FFBFBFBF"/>
      </left>
      <right style="thin">
        <color rgb="FFBFBFBF"/>
      </right>
      <top style="thin">
        <color rgb="FFBFBFBF"/>
      </top>
      <bottom/>
      <diagonal/>
    </border>
  </borders>
  <cellStyleXfs count="1">
    <xf numFmtId="0" fontId="0" fillId="0" borderId="0"/>
  </cellStyleXfs>
  <cellXfs count="45">
    <xf numFmtId="0" fontId="0" fillId="0" borderId="0" xfId="0"/>
    <xf numFmtId="0" fontId="3" fillId="0" borderId="0" xfId="0" applyFont="1"/>
    <xf numFmtId="164" fontId="6" fillId="0" borderId="1" xfId="0" applyNumberFormat="1" applyFont="1" applyBorder="1"/>
    <xf numFmtId="0" fontId="4" fillId="0" borderId="0" xfId="0" applyFont="1"/>
    <xf numFmtId="0" fontId="2" fillId="0" borderId="0" xfId="0" applyFont="1"/>
    <xf numFmtId="165" fontId="7" fillId="0" borderId="1" xfId="0" applyNumberFormat="1" applyFont="1" applyBorder="1"/>
    <xf numFmtId="0" fontId="9" fillId="0" borderId="0" xfId="0" applyFont="1" applyAlignment="1">
      <alignment indent="1"/>
    </xf>
    <xf numFmtId="165" fontId="6" fillId="0" borderId="1" xfId="0" applyNumberFormat="1" applyFont="1" applyBorder="1"/>
    <xf numFmtId="0" fontId="2" fillId="2" borderId="0" xfId="0" applyFont="1" applyFill="1"/>
    <xf numFmtId="0" fontId="0" fillId="2" borderId="0" xfId="0" applyFill="1"/>
    <xf numFmtId="166" fontId="7" fillId="0" borderId="1" xfId="0" applyNumberFormat="1" applyFont="1" applyBorder="1"/>
    <xf numFmtId="166" fontId="10" fillId="0" borderId="1" xfId="0" applyNumberFormat="1" applyFont="1" applyBorder="1"/>
    <xf numFmtId="167" fontId="10" fillId="0" borderId="1" xfId="0" applyNumberFormat="1" applyFont="1" applyBorder="1"/>
    <xf numFmtId="0" fontId="4" fillId="0" borderId="1" xfId="0" applyFont="1" applyBorder="1"/>
    <xf numFmtId="165" fontId="10" fillId="0" borderId="1" xfId="0" applyNumberFormat="1" applyFont="1" applyBorder="1"/>
    <xf numFmtId="0" fontId="0" fillId="0" borderId="0" xfId="0" applyAlignment="1"/>
    <xf numFmtId="0" fontId="5" fillId="4" borderId="1" xfId="0" applyFont="1" applyFill="1" applyBorder="1" applyAlignment="1">
      <alignment horizontal="center" vertical="center" wrapText="1"/>
    </xf>
    <xf numFmtId="164" fontId="13" fillId="5" borderId="1" xfId="0" applyNumberFormat="1" applyFont="1" applyFill="1" applyBorder="1"/>
    <xf numFmtId="164" fontId="13" fillId="5" borderId="3" xfId="0" applyNumberFormat="1" applyFont="1" applyFill="1" applyBorder="1"/>
    <xf numFmtId="0" fontId="3" fillId="5" borderId="4" xfId="0" applyFont="1" applyFill="1" applyBorder="1"/>
    <xf numFmtId="165" fontId="13" fillId="0" borderId="1" xfId="0" applyNumberFormat="1" applyFont="1" applyBorder="1"/>
    <xf numFmtId="0" fontId="0" fillId="5" borderId="4" xfId="0" applyFill="1" applyBorder="1"/>
    <xf numFmtId="169" fontId="15" fillId="0" borderId="0" xfId="0" applyNumberFormat="1" applyFont="1"/>
    <xf numFmtId="0" fontId="0" fillId="0" borderId="0" xfId="0" applyFill="1"/>
    <xf numFmtId="165" fontId="6" fillId="0" borderId="3" xfId="0" applyNumberFormat="1" applyFont="1" applyBorder="1"/>
    <xf numFmtId="0" fontId="5" fillId="4" borderId="6" xfId="0" applyFont="1" applyFill="1" applyBorder="1" applyAlignment="1">
      <alignment horizontal="center" vertical="center" wrapText="1"/>
    </xf>
    <xf numFmtId="168" fontId="14" fillId="0" borderId="6" xfId="0" applyNumberFormat="1" applyFont="1" applyBorder="1"/>
    <xf numFmtId="168" fontId="3" fillId="0" borderId="1" xfId="0" applyNumberFormat="1" applyFont="1" applyBorder="1"/>
    <xf numFmtId="165" fontId="13" fillId="0" borderId="3" xfId="0" applyNumberFormat="1" applyFont="1" applyBorder="1"/>
    <xf numFmtId="169" fontId="15" fillId="0" borderId="1" xfId="0" applyNumberFormat="1" applyFont="1" applyBorder="1"/>
    <xf numFmtId="166" fontId="7" fillId="0" borderId="3" xfId="0" applyNumberFormat="1" applyFont="1" applyBorder="1"/>
    <xf numFmtId="169" fontId="15" fillId="0" borderId="6" xfId="0" applyNumberFormat="1" applyFont="1" applyBorder="1"/>
    <xf numFmtId="0" fontId="3" fillId="0" borderId="1" xfId="0" applyFont="1" applyBorder="1"/>
    <xf numFmtId="0" fontId="14" fillId="0" borderId="0" xfId="0" applyFont="1"/>
    <xf numFmtId="0" fontId="1" fillId="0" borderId="0" xfId="0" applyFont="1" applyBorder="1" applyAlignment="1"/>
    <xf numFmtId="0" fontId="2" fillId="0" borderId="0" xfId="0" applyFont="1" applyBorder="1" applyAlignment="1"/>
    <xf numFmtId="0" fontId="0" fillId="0" borderId="0" xfId="0" applyFont="1" applyBorder="1" applyAlignment="1">
      <alignment vertical="top" wrapText="1"/>
    </xf>
    <xf numFmtId="0" fontId="4" fillId="0" borderId="0" xfId="0" applyFont="1" applyBorder="1" applyAlignment="1">
      <alignment vertical="top" wrapText="1"/>
    </xf>
    <xf numFmtId="0" fontId="1" fillId="0" borderId="0" xfId="0" applyFont="1" applyBorder="1" applyAlignment="1"/>
    <xf numFmtId="0" fontId="2" fillId="0" borderId="0" xfId="0" applyFont="1" applyBorder="1" applyAlignment="1"/>
    <xf numFmtId="0" fontId="2" fillId="2" borderId="5" xfId="0" applyFont="1" applyFill="1" applyBorder="1" applyAlignment="1">
      <alignment horizontal="left" vertical="center"/>
    </xf>
    <xf numFmtId="0" fontId="4" fillId="0" borderId="0" xfId="0" applyFont="1" applyBorder="1" applyAlignment="1">
      <alignment horizontal="left"/>
    </xf>
    <xf numFmtId="165" fontId="12" fillId="3" borderId="2" xfId="0" applyNumberFormat="1" applyFont="1" applyFill="1" applyBorder="1" applyAlignment="1">
      <alignment horizontal="center" vertical="center"/>
    </xf>
    <xf numFmtId="166" fontId="12" fillId="3" borderId="2" xfId="0" applyNumberFormat="1" applyFont="1" applyFill="1" applyBorder="1" applyAlignment="1">
      <alignment horizontal="center" vertical="center"/>
    </xf>
    <xf numFmtId="0" fontId="11" fillId="3" borderId="2"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D3E3B"/>
      <rgbColor rgb="FFF9F9F9"/>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CFFCC"/>
      <rgbColor rgb="FFFFFF99"/>
      <rgbColor rgb="FFAABAD7"/>
      <rgbColor rgb="FFD4A5A4"/>
      <rgbColor rgb="FFCC99FF"/>
      <rgbColor rgb="FFFFCC99"/>
      <rgbColor rgb="FF416A9C"/>
      <rgbColor rgb="FF33CCCC"/>
      <rgbColor rgb="FF9BBB59"/>
      <rgbColor rgb="FFFFCC00"/>
      <rgbColor rgb="FFFF9900"/>
      <rgbColor rgb="FFFF6600"/>
      <rgbColor rgb="FF666666"/>
      <rgbColor rgb="FF969696"/>
      <rgbColor rgb="FF003366"/>
      <rgbColor rgb="FF4F81BD"/>
      <rgbColor rgb="FF003300"/>
      <rgbColor rgb="FF333300"/>
      <rgbColor rgb="FFC0504D"/>
      <rgbColor rgb="FFBE4B48"/>
      <rgbColor rgb="FF1F4E78"/>
      <rgbColor rgb="FF333333"/>
      <rgbColor rgb="00003366"/>
      <rgbColor rgb="00339966"/>
      <rgbColor rgb="00003300"/>
      <rgbColor rgb="00333300"/>
      <rgbColor rgb="00993300"/>
      <rgbColor rgb="00993366"/>
      <rgbColor rgb="00333399"/>
      <rgbColor rgb="00333333"/>
    </indexedColors>
    <mruColors>
      <color rgb="FF1D67A8"/>
      <color rgb="FFF5F5F5"/>
      <color rgb="FF0000FF"/>
      <color rgb="FFBFBFBF"/>
      <color rgb="FFE0E0E0"/>
      <color rgb="FF1B57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Revenue &amp; Operating Profit Trend (KRW trillion)</a:t>
            </a:r>
          </a:p>
        </c:rich>
      </c:tx>
      <c:overlay val="0"/>
      <c:spPr>
        <a:noFill/>
        <a:ln w="0">
          <a:noFill/>
        </a:ln>
      </c:spPr>
    </c:title>
    <c:autoTitleDeleted val="0"/>
    <c:plotArea>
      <c:layout/>
      <c:lineChart>
        <c:grouping val="standard"/>
        <c:varyColors val="0"/>
        <c:ser>
          <c:idx val="0"/>
          <c:order val="0"/>
          <c:tx>
            <c:strRef>
              <c:f>'09_Dashboard'!B9</c:f>
              <c:strCache>
                <c:ptCount val="1"/>
                <c:pt idx="0">
                  <c:v>Revenue</c:v>
                </c:pt>
              </c:strCache>
            </c:strRef>
          </c:tx>
          <c:spPr>
            <a:ln w="47520">
              <a:solidFill>
                <a:srgbClr val="9D3E3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'09_Dashboard'!$C$8:$F$8</c:f>
              <c:strCache>
                <c:ptCount val="4"/>
                <c:pt idx="0">
                  <c:v>2022</c:v>
                </c:pt>
                <c:pt idx="1">
                  <c:v>2023</c:v>
                </c:pt>
                <c:pt idx="2">
                  <c:v>2024</c:v>
                </c:pt>
                <c:pt idx="3">
                  <c:v>2025</c:v>
                </c:pt>
              </c:strCache>
            </c:strRef>
          </c:cat>
          <c:val>
            <c:numRef>
              <c:f>'09_Dashboard'!$C$9:$F$9</c:f>
              <c:numCache>
                <c:formatCode>#,##0.0;\(#,##0.0\);\-</c:formatCode>
                <c:ptCount val="4"/>
                <c:pt idx="0">
                  <c:v>302.23136</c:v>
                </c:pt>
                <c:pt idx="1">
                  <c:v>258.93549400000001</c:v>
                </c:pt>
                <c:pt idx="2">
                  <c:v>300.870903</c:v>
                </c:pt>
                <c:pt idx="3">
                  <c:v>333.60593799999998</c:v>
                </c:pt>
              </c:numCache>
            </c:numRef>
          </c:val>
          <c:smooth val="1"/>
          <c:extLst>
            <c:ext xmlns:c16="http://schemas.microsoft.com/office/drawing/2014/chart" uri="{C3380CC4-5D6E-409C-BE32-E72D297353CC}">
              <c16:uniqueId val="{00000000-6942-4F2E-BAAE-D40426BA6B8C}"/>
            </c:ext>
          </c:extLst>
        </c:ser>
        <c:ser>
          <c:idx val="1"/>
          <c:order val="1"/>
          <c:tx>
            <c:strRef>
              <c:f>'09_Dashboard'!B11</c:f>
              <c:strCache>
                <c:ptCount val="1"/>
                <c:pt idx="0">
                  <c:v>Operating profit</c:v>
                </c:pt>
              </c:strCache>
            </c:strRef>
          </c:tx>
          <c:spPr>
            <a:ln w="4752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'09_Dashboard'!$C$8:$F$8</c:f>
              <c:strCache>
                <c:ptCount val="4"/>
                <c:pt idx="0">
                  <c:v>2022</c:v>
                </c:pt>
                <c:pt idx="1">
                  <c:v>2023</c:v>
                </c:pt>
                <c:pt idx="2">
                  <c:v>2024</c:v>
                </c:pt>
                <c:pt idx="3">
                  <c:v>2025</c:v>
                </c:pt>
              </c:strCache>
            </c:strRef>
          </c:cat>
          <c:val>
            <c:numRef>
              <c:f>'09_Dashboard'!$C$11:$F$11</c:f>
              <c:numCache>
                <c:formatCode>#,##0.0;\(#,##0.0\);\-</c:formatCode>
                <c:ptCount val="4"/>
                <c:pt idx="0">
                  <c:v>43.376629999999999</c:v>
                </c:pt>
                <c:pt idx="1">
                  <c:v>6.5669760000000004</c:v>
                </c:pt>
                <c:pt idx="2">
                  <c:v>32.725960999999998</c:v>
                </c:pt>
                <c:pt idx="3">
                  <c:v>43.601050999999998</c:v>
                </c:pt>
              </c:numCache>
            </c:numRef>
          </c:val>
          <c:smooth val="1"/>
          <c:extLst>
            <c:ext xmlns:c16="http://schemas.microsoft.com/office/drawing/2014/chart" uri="{C3380CC4-5D6E-409C-BE32-E72D297353CC}">
              <c16:uniqueId val="{00000001-6942-4F2E-BAAE-D40426BA6B8C}"/>
            </c:ext>
          </c:extLst>
        </c:ser>
        <c:ser>
          <c:idx val="2"/>
          <c:order val="2"/>
          <c:tx>
            <c:strRef>
              <c:f>'09_Dashboard'!B12</c:f>
              <c:strCache>
                <c:ptCount val="1"/>
                <c:pt idx="0">
                  <c:v>Net income</c:v>
                </c:pt>
              </c:strCache>
            </c:strRef>
          </c:tx>
          <c:spPr>
            <a:ln w="47520">
              <a:solidFill>
                <a:srgbClr val="D4A5A4"/>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'09_Dashboard'!$C$8:$F$8</c:f>
              <c:strCache>
                <c:ptCount val="4"/>
                <c:pt idx="0">
                  <c:v>2022</c:v>
                </c:pt>
                <c:pt idx="1">
                  <c:v>2023</c:v>
                </c:pt>
                <c:pt idx="2">
                  <c:v>2024</c:v>
                </c:pt>
                <c:pt idx="3">
                  <c:v>2025</c:v>
                </c:pt>
              </c:strCache>
            </c:strRef>
          </c:cat>
          <c:val>
            <c:numRef>
              <c:f>'09_Dashboard'!$C$12:$F$12</c:f>
              <c:numCache>
                <c:formatCode>#,##0.0;\(#,##0.0\);\-</c:formatCode>
                <c:ptCount val="4"/>
                <c:pt idx="0">
                  <c:v>55.654077000000001</c:v>
                </c:pt>
                <c:pt idx="1">
                  <c:v>15.4871</c:v>
                </c:pt>
                <c:pt idx="2">
                  <c:v>34.451351000000003</c:v>
                </c:pt>
                <c:pt idx="3">
                  <c:v>45.206805000000003</c:v>
                </c:pt>
              </c:numCache>
            </c:numRef>
          </c:val>
          <c:smooth val="1"/>
          <c:extLst>
            <c:ext xmlns:c16="http://schemas.microsoft.com/office/drawing/2014/chart" uri="{C3380CC4-5D6E-409C-BE32-E72D297353CC}">
              <c16:uniqueId val="{00000002-6942-4F2E-BAAE-D40426BA6B8C}"/>
            </c:ext>
          </c:extLst>
        </c:ser>
        <c:dLbls>
          <c:showLegendKey val="0"/>
          <c:showVal val="0"/>
          <c:showCatName val="0"/>
          <c:showSerName val="0"/>
          <c:showPercent val="0"/>
          <c:showBubbleSize val="0"/>
        </c:dLbls>
        <c:hiLowLines>
          <c:spPr>
            <a:ln w="0">
              <a:noFill/>
            </a:ln>
          </c:spPr>
        </c:hiLowLines>
        <c:smooth val="0"/>
        <c:axId val="65697996"/>
        <c:axId val="82424223"/>
      </c:lineChart>
      <c:catAx>
        <c:axId val="65697996"/>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2424223"/>
        <c:crosses val="autoZero"/>
        <c:auto val="1"/>
        <c:lblAlgn val="ctr"/>
        <c:lblOffset val="100"/>
        <c:noMultiLvlLbl val="0"/>
      </c:catAx>
      <c:valAx>
        <c:axId val="8242422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KRW trillion</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69799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rial"/>
              <a:ea typeface="Arial"/>
              <a:cs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Profitability Margins Trend</a:t>
            </a:r>
          </a:p>
        </c:rich>
      </c:tx>
      <c:overlay val="0"/>
      <c:spPr>
        <a:noFill/>
        <a:ln w="0">
          <a:noFill/>
        </a:ln>
      </c:spPr>
    </c:title>
    <c:autoTitleDeleted val="0"/>
    <c:plotArea>
      <c:layout/>
      <c:barChart>
        <c:barDir val="col"/>
        <c:grouping val="clustered"/>
        <c:varyColors val="0"/>
        <c:ser>
          <c:idx val="0"/>
          <c:order val="0"/>
          <c:tx>
            <c:strRef>
              <c:f>'09_Dashboard'!B15</c:f>
              <c:strCache>
                <c:ptCount val="1"/>
                <c:pt idx="0">
                  <c:v>Gross margin</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'09_Dashboard'!$C$14:$F$14</c:f>
              <c:strCache>
                <c:ptCount val="4"/>
                <c:pt idx="0">
                  <c:v>2022</c:v>
                </c:pt>
                <c:pt idx="1">
                  <c:v>2023</c:v>
                </c:pt>
                <c:pt idx="2">
                  <c:v>2024</c:v>
                </c:pt>
                <c:pt idx="3">
                  <c:v>2025</c:v>
                </c:pt>
              </c:strCache>
            </c:strRef>
          </c:cat>
          <c:val>
            <c:numRef>
              <c:f>'09_Dashboard'!$C$15:$F$15</c:f>
              <c:numCache>
                <c:formatCode>0.0%;\(0.0%\);\-</c:formatCode>
                <c:ptCount val="4"/>
                <c:pt idx="0">
                  <c:v>0.3712043316749129</c:v>
                </c:pt>
                <c:pt idx="1">
                  <c:v>0.3033454888189257</c:v>
                </c:pt>
                <c:pt idx="2">
                  <c:v>0.37992585477765523</c:v>
                </c:pt>
                <c:pt idx="3">
                  <c:v>0.39378922865575611</c:v>
                </c:pt>
              </c:numCache>
            </c:numRef>
          </c:val>
          <c:extLst>
            <c:ext xmlns:c16="http://schemas.microsoft.com/office/drawing/2014/chart" uri="{C3380CC4-5D6E-409C-BE32-E72D297353CC}">
              <c16:uniqueId val="{00000000-C8A7-4DD1-B037-DE483272C957}"/>
            </c:ext>
          </c:extLst>
        </c:ser>
        <c:ser>
          <c:idx val="1"/>
          <c:order val="1"/>
          <c:tx>
            <c:strRef>
              <c:f>'09_Dashboard'!B16</c:f>
              <c:strCache>
                <c:ptCount val="1"/>
                <c:pt idx="0">
                  <c:v>Operating margin</c:v>
                </c:pt>
              </c:strCache>
            </c:strRef>
          </c:tx>
          <c:spPr>
            <a:solidFill>
              <a:srgbClr val="C0504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'09_Dashboard'!$C$14:$F$14</c:f>
              <c:strCache>
                <c:ptCount val="4"/>
                <c:pt idx="0">
                  <c:v>2022</c:v>
                </c:pt>
                <c:pt idx="1">
                  <c:v>2023</c:v>
                </c:pt>
                <c:pt idx="2">
                  <c:v>2024</c:v>
                </c:pt>
                <c:pt idx="3">
                  <c:v>2025</c:v>
                </c:pt>
              </c:strCache>
            </c:strRef>
          </c:cat>
          <c:val>
            <c:numRef>
              <c:f>'09_Dashboard'!$C$16:$F$16</c:f>
              <c:numCache>
                <c:formatCode>0.0%;\(0.0%\);\-</c:formatCode>
                <c:ptCount val="4"/>
                <c:pt idx="0">
                  <c:v>0.14352127456263969</c:v>
                </c:pt>
                <c:pt idx="1">
                  <c:v>2.5361436157531961E-2</c:v>
                </c:pt>
                <c:pt idx="2">
                  <c:v>0.10877077402197313</c:v>
                </c:pt>
                <c:pt idx="3">
                  <c:v>0.13069626776247609</c:v>
                </c:pt>
              </c:numCache>
            </c:numRef>
          </c:val>
          <c:extLst>
            <c:ext xmlns:c16="http://schemas.microsoft.com/office/drawing/2014/chart" uri="{C3380CC4-5D6E-409C-BE32-E72D297353CC}">
              <c16:uniqueId val="{00000001-C8A7-4DD1-B037-DE483272C957}"/>
            </c:ext>
          </c:extLst>
        </c:ser>
        <c:ser>
          <c:idx val="2"/>
          <c:order val="2"/>
          <c:tx>
            <c:strRef>
              <c:f>'09_Dashboard'!B17</c:f>
              <c:strCache>
                <c:ptCount val="1"/>
                <c:pt idx="0">
                  <c:v>Net margin</c:v>
                </c:pt>
              </c:strCache>
            </c:strRef>
          </c:tx>
          <c:spPr>
            <a:solidFill>
              <a:srgbClr val="9BBB59"/>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'09_Dashboard'!$C$14:$F$14</c:f>
              <c:strCache>
                <c:ptCount val="4"/>
                <c:pt idx="0">
                  <c:v>2022</c:v>
                </c:pt>
                <c:pt idx="1">
                  <c:v>2023</c:v>
                </c:pt>
                <c:pt idx="2">
                  <c:v>2024</c:v>
                </c:pt>
                <c:pt idx="3">
                  <c:v>2025</c:v>
                </c:pt>
              </c:strCache>
            </c:strRef>
          </c:cat>
          <c:val>
            <c:numRef>
              <c:f>'09_Dashboard'!$C$17:$F$17</c:f>
              <c:numCache>
                <c:formatCode>0.0%;\(0.0%\);\-</c:formatCode>
                <c:ptCount val="4"/>
                <c:pt idx="0">
                  <c:v>0.18414395183875029</c:v>
                </c:pt>
                <c:pt idx="1">
                  <c:v>5.9810649211343735E-2</c:v>
                </c:pt>
                <c:pt idx="2">
                  <c:v>0.11450542626915305</c:v>
                </c:pt>
                <c:pt idx="3">
                  <c:v>0.135509593357418</c:v>
                </c:pt>
              </c:numCache>
            </c:numRef>
          </c:val>
          <c:extLst>
            <c:ext xmlns:c16="http://schemas.microsoft.com/office/drawing/2014/chart" uri="{C3380CC4-5D6E-409C-BE32-E72D297353CC}">
              <c16:uniqueId val="{00000002-C8A7-4DD1-B037-DE483272C957}"/>
            </c:ext>
          </c:extLst>
        </c:ser>
        <c:dLbls>
          <c:showLegendKey val="0"/>
          <c:showVal val="0"/>
          <c:showCatName val="0"/>
          <c:showSerName val="0"/>
          <c:showPercent val="0"/>
          <c:showBubbleSize val="0"/>
        </c:dLbls>
        <c:gapWidth val="150"/>
        <c:axId val="85512673"/>
        <c:axId val="50764089"/>
      </c:barChart>
      <c:catAx>
        <c:axId val="85512673"/>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0764089"/>
        <c:crosses val="autoZero"/>
        <c:auto val="1"/>
        <c:lblAlgn val="ctr"/>
        <c:lblOffset val="100"/>
        <c:noMultiLvlLbl val="0"/>
      </c:catAx>
      <c:valAx>
        <c:axId val="5076408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 of Revenue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51267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rial"/>
              <a:ea typeface="Arial"/>
              <a:cs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Segment Sales by Division (KRW trillion)</a:t>
            </a:r>
          </a:p>
        </c:rich>
      </c:tx>
      <c:overlay val="0"/>
      <c:spPr>
        <a:noFill/>
        <a:ln w="0">
          <a:noFill/>
        </a:ln>
      </c:spPr>
    </c:title>
    <c:autoTitleDeleted val="0"/>
    <c:plotArea>
      <c:layout/>
      <c:barChart>
        <c:barDir val="col"/>
        <c:grouping val="clustered"/>
        <c:varyColors val="0"/>
        <c:ser>
          <c:idx val="0"/>
          <c:order val="0"/>
          <c:tx>
            <c:strRef>
              <c:f>'09_Dashboard'!C19</c:f>
              <c:strCache>
                <c:ptCount val="1"/>
                <c:pt idx="0">
                  <c:v>2022</c:v>
                </c:pt>
              </c:strCache>
            </c:strRef>
          </c:tx>
          <c:spPr>
            <a:solidFill>
              <a:srgbClr val="416A9C"/>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'09_Dashboard'!$B$20:$B$23</c:f>
              <c:strCache>
                <c:ptCount val="4"/>
                <c:pt idx="0">
                  <c:v>DX Division</c:v>
                </c:pt>
                <c:pt idx="1">
                  <c:v>DS Division</c:v>
                </c:pt>
                <c:pt idx="2">
                  <c:v>SDC</c:v>
                </c:pt>
                <c:pt idx="3">
                  <c:v>Harman</c:v>
                </c:pt>
              </c:strCache>
            </c:strRef>
          </c:cat>
          <c:val>
            <c:numRef>
              <c:f>'09_Dashboard'!$C$20:$C$23</c:f>
              <c:numCache>
                <c:formatCode>#,##0.0;\(#,##0.0\);\-</c:formatCode>
                <c:ptCount val="4"/>
                <c:pt idx="0">
                  <c:v>182.48972000000001</c:v>
                </c:pt>
                <c:pt idx="1">
                  <c:v>98.455269999999999</c:v>
                </c:pt>
                <c:pt idx="2">
                  <c:v>34.382618999999998</c:v>
                </c:pt>
                <c:pt idx="3">
                  <c:v>13.213694</c:v>
                </c:pt>
              </c:numCache>
            </c:numRef>
          </c:val>
          <c:extLst>
            <c:ext xmlns:c16="http://schemas.microsoft.com/office/drawing/2014/chart" uri="{C3380CC4-5D6E-409C-BE32-E72D297353CC}">
              <c16:uniqueId val="{00000000-08F4-4ED7-8F01-4972E4FE6AD5}"/>
            </c:ext>
          </c:extLst>
        </c:ser>
        <c:ser>
          <c:idx val="3"/>
          <c:order val="1"/>
          <c:tx>
            <c:strRef>
              <c:f>{"2023"}</c:f>
              <c:strCache>
                <c:ptCount val="1"/>
                <c:pt idx="0">
                  <c:v>2023</c:v>
                </c:pt>
              </c:strCache>
            </c:strRef>
          </c:tx>
          <c:invertIfNegative val="0"/>
          <c:cat>
            <c:strRef>
              <c:f>'09_Dashboard'!$B$20:$B$23</c:f>
              <c:strCache>
                <c:ptCount val="4"/>
                <c:pt idx="0">
                  <c:v>DX Division</c:v>
                </c:pt>
                <c:pt idx="1">
                  <c:v>DS Division</c:v>
                </c:pt>
                <c:pt idx="2">
                  <c:v>SDC</c:v>
                </c:pt>
                <c:pt idx="3">
                  <c:v>Harman</c:v>
                </c:pt>
              </c:strCache>
            </c:strRef>
          </c:cat>
          <c:val>
            <c:numRef>
              <c:f>'09_Dashboard'!D20:D23</c:f>
              <c:numCache>
                <c:formatCode>#,##0.0;\(#,##0.0\);\-</c:formatCode>
                <c:ptCount val="4"/>
                <c:pt idx="0">
                  <c:v>170</c:v>
                </c:pt>
                <c:pt idx="1">
                  <c:v>66.599999999999994</c:v>
                </c:pt>
                <c:pt idx="2">
                  <c:v>31</c:v>
                </c:pt>
                <c:pt idx="3">
                  <c:v>14.4</c:v>
                </c:pt>
              </c:numCache>
            </c:numRef>
          </c:val>
          <c:extLst>
            <c:ext xmlns:c16="http://schemas.microsoft.com/office/drawing/2014/chart" uri="{C3380CC4-5D6E-409C-BE32-E72D297353CC}">
              <c16:uniqueId val="{00000001-F9CF-471B-94A1-3ECEDA552385}"/>
            </c:ext>
          </c:extLst>
        </c:ser>
        <c:ser>
          <c:idx val="1"/>
          <c:order val="2"/>
          <c:tx>
            <c:strRef>
              <c:f>'09_Dashboard'!E19</c:f>
              <c:strCache>
                <c:ptCount val="1"/>
                <c:pt idx="0">
                  <c:v>2024</c:v>
                </c:pt>
              </c:strCache>
            </c:strRef>
          </c:tx>
          <c:spPr>
            <a:solidFill>
              <a:srgbClr val="4BACC6"/>
            </a:solidFill>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'09_Dashboard'!$B$20:$B$23</c:f>
              <c:strCache>
                <c:ptCount val="4"/>
                <c:pt idx="0">
                  <c:v>DX Division</c:v>
                </c:pt>
                <c:pt idx="1">
                  <c:v>DS Division</c:v>
                </c:pt>
                <c:pt idx="2">
                  <c:v>SDC</c:v>
                </c:pt>
                <c:pt idx="3">
                  <c:v>Harman</c:v>
                </c:pt>
              </c:strCache>
            </c:strRef>
          </c:cat>
          <c:val>
            <c:numRef>
              <c:f>'09_Dashboard'!$E$20:$E$23</c:f>
              <c:numCache>
                <c:formatCode>#,##0.0;\(#,##0.0\);\-</c:formatCode>
                <c:ptCount val="4"/>
                <c:pt idx="0">
                  <c:v>174.9</c:v>
                </c:pt>
                <c:pt idx="1">
                  <c:v>111.1</c:v>
                </c:pt>
                <c:pt idx="2">
                  <c:v>29.2</c:v>
                </c:pt>
                <c:pt idx="3">
                  <c:v>14.3</c:v>
                </c:pt>
              </c:numCache>
            </c:numRef>
          </c:val>
          <c:extLst>
            <c:ext xmlns:c16="http://schemas.microsoft.com/office/drawing/2014/chart" uri="{C3380CC4-5D6E-409C-BE32-E72D297353CC}">
              <c16:uniqueId val="{00000001-08F4-4ED7-8F01-4972E4FE6AD5}"/>
            </c:ext>
          </c:extLst>
        </c:ser>
        <c:ser>
          <c:idx val="2"/>
          <c:order val="3"/>
          <c:tx>
            <c:strRef>
              <c:f>'09_Dashboard'!F19</c:f>
              <c:strCache>
                <c:ptCount val="1"/>
                <c:pt idx="0">
                  <c:v>2025</c:v>
                </c:pt>
              </c:strCache>
            </c:strRef>
          </c:tx>
          <c:spPr>
            <a:solidFill>
              <a:srgbClr val="AABAD7"/>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'09_Dashboard'!$B$20:$B$23</c:f>
              <c:strCache>
                <c:ptCount val="4"/>
                <c:pt idx="0">
                  <c:v>DX Division</c:v>
                </c:pt>
                <c:pt idx="1">
                  <c:v>DS Division</c:v>
                </c:pt>
                <c:pt idx="2">
                  <c:v>SDC</c:v>
                </c:pt>
                <c:pt idx="3">
                  <c:v>Harman</c:v>
                </c:pt>
              </c:strCache>
            </c:strRef>
          </c:cat>
          <c:val>
            <c:numRef>
              <c:f>'09_Dashboard'!$F$20:$F$23</c:f>
              <c:numCache>
                <c:formatCode>#,##0.0;\(#,##0.0\);\-</c:formatCode>
                <c:ptCount val="4"/>
                <c:pt idx="0">
                  <c:v>188</c:v>
                </c:pt>
                <c:pt idx="1">
                  <c:v>130.1</c:v>
                </c:pt>
                <c:pt idx="2">
                  <c:v>29.8</c:v>
                </c:pt>
                <c:pt idx="3">
                  <c:v>15.8</c:v>
                </c:pt>
              </c:numCache>
            </c:numRef>
          </c:val>
          <c:extLst>
            <c:ext xmlns:c16="http://schemas.microsoft.com/office/drawing/2014/chart" uri="{C3380CC4-5D6E-409C-BE32-E72D297353CC}">
              <c16:uniqueId val="{00000002-08F4-4ED7-8F01-4972E4FE6AD5}"/>
            </c:ext>
          </c:extLst>
        </c:ser>
        <c:dLbls>
          <c:showLegendKey val="0"/>
          <c:showVal val="0"/>
          <c:showCatName val="0"/>
          <c:showSerName val="0"/>
          <c:showPercent val="0"/>
          <c:showBubbleSize val="0"/>
        </c:dLbls>
        <c:gapWidth val="150"/>
        <c:axId val="14739137"/>
        <c:axId val="96080007"/>
      </c:barChart>
      <c:catAx>
        <c:axId val="14739137"/>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Division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6080007"/>
        <c:crosses val="autoZero"/>
        <c:auto val="1"/>
        <c:lblAlgn val="ctr"/>
        <c:lblOffset val="100"/>
        <c:noMultiLvlLbl val="0"/>
      </c:catAx>
      <c:valAx>
        <c:axId val="9608000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KRW trillion</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Arial"/>
                <a:ea typeface="Arial"/>
                <a:cs typeface="Arial"/>
              </a:defRPr>
            </a:pPr>
            <a:endParaRPr lang="en-US"/>
          </a:p>
        </c:txPr>
        <c:crossAx val="1473913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Arial"/>
              <a:ea typeface="Arial"/>
              <a:cs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790575</xdr:colOff>
      <xdr:row>6</xdr:row>
      <xdr:rowOff>179970</xdr:rowOff>
    </xdr:from>
    <xdr:to>
      <xdr:col>16</xdr:col>
      <xdr:colOff>497715</xdr:colOff>
      <xdr:row>25</xdr:row>
      <xdr:rowOff>160170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790575</xdr:colOff>
      <xdr:row>26</xdr:row>
      <xdr:rowOff>18045</xdr:rowOff>
    </xdr:from>
    <xdr:to>
      <xdr:col>16</xdr:col>
      <xdr:colOff>497715</xdr:colOff>
      <xdr:row>44</xdr:row>
      <xdr:rowOff>188745</xdr:rowOff>
    </xdr:to>
    <xdr:graphicFrame macro="">
      <xdr:nvGraphicFramePr>
        <xdr:cNvPr id="3" name="Chart 2">
          <a:extLst>
            <a:ext uri="{FF2B5EF4-FFF2-40B4-BE49-F238E27FC236}">
              <a16:creationId xmlns:a16="http://schemas.microsoft.com/office/drawing/2014/main" id="{00000000-0008-0000-0900-000003000000}"/>
            </a:ext>
            <a:ext uri="{147F2762-F138-4A5C-976F-8EAC2B608ADB}">
              <a16:predDERef xmlns:a16="http://schemas.microsoft.com/office/drawing/2014/main" pre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790575</xdr:colOff>
      <xdr:row>45</xdr:row>
      <xdr:rowOff>27570</xdr:rowOff>
    </xdr:from>
    <xdr:to>
      <xdr:col>16</xdr:col>
      <xdr:colOff>497715</xdr:colOff>
      <xdr:row>64</xdr:row>
      <xdr:rowOff>7770</xdr:rowOff>
    </xdr:to>
    <xdr:graphicFrame macro="">
      <xdr:nvGraphicFramePr>
        <xdr:cNvPr id="4" name="Chart 3">
          <a:extLst>
            <a:ext uri="{FF2B5EF4-FFF2-40B4-BE49-F238E27FC236}">
              <a16:creationId xmlns:a16="http://schemas.microsoft.com/office/drawing/2014/main" id="{00000000-0008-0000-0900-000004000000}"/>
            </a:ext>
            <a:ext uri="{147F2762-F138-4A5C-976F-8EAC2B608ADB}">
              <a16:predDERef xmlns:a16="http://schemas.microsoft.com/office/drawing/2014/main" pre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21"/>
  <sheetViews>
    <sheetView tabSelected="1" zoomScaleNormal="100" workbookViewId="0">
      <selection activeCell="J6" sqref="J6"/>
    </sheetView>
  </sheetViews>
  <sheetFormatPr defaultColWidth="8.7109375" defaultRowHeight="15"/>
  <cols>
    <col min="1" max="1" width="4.5703125" customWidth="1"/>
    <col min="2" max="2" width="18" customWidth="1"/>
    <col min="3" max="7" width="16" customWidth="1"/>
  </cols>
  <sheetData>
    <row r="1" spans="2:7" ht="17.45" customHeight="1">
      <c r="B1" s="34" t="s">
        <v>0</v>
      </c>
      <c r="C1" s="34"/>
      <c r="D1" s="34"/>
      <c r="E1" s="34"/>
      <c r="F1" s="15"/>
    </row>
    <row r="2" spans="2:7">
      <c r="B2" s="35" t="s">
        <v>1</v>
      </c>
      <c r="C2" s="35"/>
      <c r="D2" s="35"/>
      <c r="E2" s="35"/>
      <c r="F2" s="15"/>
    </row>
    <row r="4" spans="2:7" ht="48" customHeight="1">
      <c r="B4" s="1" t="s">
        <v>2</v>
      </c>
      <c r="C4" s="36" t="s">
        <v>3</v>
      </c>
      <c r="D4" s="36"/>
      <c r="E4" s="36"/>
      <c r="F4" s="36"/>
      <c r="G4" s="36"/>
    </row>
    <row r="6" spans="2:7" ht="48" customHeight="1">
      <c r="B6" s="1" t="s">
        <v>4</v>
      </c>
      <c r="C6" s="36" t="s">
        <v>5</v>
      </c>
      <c r="D6" s="36"/>
      <c r="E6" s="36"/>
      <c r="F6" s="36"/>
      <c r="G6" s="36"/>
    </row>
    <row r="8" spans="2:7" ht="75.75" customHeight="1">
      <c r="B8" s="1" t="s">
        <v>6</v>
      </c>
      <c r="C8" s="36" t="s">
        <v>7</v>
      </c>
      <c r="D8" s="36"/>
      <c r="E8" s="36"/>
      <c r="F8" s="36"/>
      <c r="G8" s="36"/>
    </row>
    <row r="10" spans="2:7" ht="48" customHeight="1">
      <c r="B10" s="1" t="s">
        <v>8</v>
      </c>
      <c r="C10" s="36" t="s">
        <v>9</v>
      </c>
      <c r="D10" s="36"/>
      <c r="E10" s="36"/>
      <c r="F10" s="36"/>
      <c r="G10" s="36"/>
    </row>
    <row r="12" spans="2:7" ht="48" customHeight="1">
      <c r="B12" s="1" t="s">
        <v>10</v>
      </c>
      <c r="C12" s="36" t="s">
        <v>11</v>
      </c>
      <c r="D12" s="36"/>
      <c r="E12" s="36"/>
      <c r="F12" s="36"/>
      <c r="G12" s="36"/>
    </row>
    <row r="15" spans="2:7">
      <c r="B15" s="1" t="s">
        <v>12</v>
      </c>
    </row>
    <row r="16" spans="2:7" ht="27.75" customHeight="1">
      <c r="B16" s="37" t="s">
        <v>13</v>
      </c>
      <c r="C16" s="37"/>
      <c r="D16" s="37"/>
      <c r="E16" s="37"/>
      <c r="F16" s="37"/>
      <c r="G16" s="37"/>
    </row>
    <row r="17" spans="2:7" ht="27.75" customHeight="1">
      <c r="B17" s="37" t="s">
        <v>14</v>
      </c>
      <c r="C17" s="37"/>
      <c r="D17" s="37"/>
      <c r="E17" s="37"/>
      <c r="F17" s="37"/>
      <c r="G17" s="37"/>
    </row>
    <row r="18" spans="2:7" ht="27.75" customHeight="1">
      <c r="B18" s="37" t="s">
        <v>15</v>
      </c>
      <c r="C18" s="37"/>
      <c r="D18" s="37"/>
      <c r="E18" s="37"/>
      <c r="F18" s="37"/>
      <c r="G18" s="37"/>
    </row>
    <row r="19" spans="2:7" ht="42" customHeight="1">
      <c r="B19" s="37" t="s">
        <v>16</v>
      </c>
      <c r="C19" s="37"/>
      <c r="D19" s="37"/>
      <c r="E19" s="37"/>
      <c r="F19" s="37"/>
      <c r="G19" s="37"/>
    </row>
    <row r="20" spans="2:7" ht="27.75" customHeight="1">
      <c r="B20" s="37" t="s">
        <v>17</v>
      </c>
      <c r="C20" s="37"/>
      <c r="D20" s="37"/>
      <c r="E20" s="37"/>
      <c r="F20" s="37"/>
      <c r="G20" s="37"/>
    </row>
    <row r="21" spans="2:7" ht="27.75" customHeight="1">
      <c r="B21" s="37" t="s">
        <v>18</v>
      </c>
      <c r="C21" s="37"/>
      <c r="D21" s="37"/>
      <c r="E21" s="37"/>
      <c r="F21" s="37"/>
      <c r="G21" s="37"/>
    </row>
  </sheetData>
  <mergeCells count="11">
    <mergeCell ref="B20:G20"/>
    <mergeCell ref="B21:G21"/>
    <mergeCell ref="C10:G10"/>
    <mergeCell ref="C12:G12"/>
    <mergeCell ref="B16:G16"/>
    <mergeCell ref="B17:G17"/>
    <mergeCell ref="C4:G4"/>
    <mergeCell ref="C6:G6"/>
    <mergeCell ref="C8:G8"/>
    <mergeCell ref="B18:G18"/>
    <mergeCell ref="B19:G1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18"/>
  <sheetViews>
    <sheetView zoomScaleNormal="100" workbookViewId="0">
      <pane xSplit="2" ySplit="4" topLeftCell="C5" activePane="bottomRight" state="frozen"/>
      <selection pane="bottomRight" activeCell="E7" sqref="E7"/>
      <selection pane="bottomLeft" activeCell="A5" sqref="A5"/>
      <selection pane="topRight" activeCell="B1" sqref="B1"/>
    </sheetView>
  </sheetViews>
  <sheetFormatPr defaultColWidth="8.7109375" defaultRowHeight="15"/>
  <cols>
    <col min="1" max="1" width="4.85546875" customWidth="1"/>
    <col min="2" max="2" width="34" customWidth="1"/>
    <col min="3" max="6" width="15" customWidth="1"/>
    <col min="7" max="7" width="17.85546875" customWidth="1"/>
    <col min="8" max="8" width="13.42578125" customWidth="1"/>
  </cols>
  <sheetData>
    <row r="1" spans="2:8" ht="18">
      <c r="B1" s="38" t="s">
        <v>19</v>
      </c>
      <c r="C1" s="38"/>
      <c r="D1" s="38"/>
      <c r="E1" s="38"/>
      <c r="F1" s="38"/>
    </row>
    <row r="2" spans="2:8">
      <c r="B2" s="39" t="s">
        <v>20</v>
      </c>
      <c r="C2" s="39"/>
      <c r="D2" s="39"/>
      <c r="E2" s="39"/>
      <c r="F2" s="39"/>
    </row>
    <row r="4" spans="2:8">
      <c r="B4" s="16" t="s">
        <v>21</v>
      </c>
      <c r="C4" s="16" t="s">
        <v>22</v>
      </c>
      <c r="D4" s="16" t="s">
        <v>23</v>
      </c>
      <c r="E4" s="16" t="s">
        <v>24</v>
      </c>
      <c r="F4" s="16" t="s">
        <v>25</v>
      </c>
      <c r="G4" s="16" t="s">
        <v>26</v>
      </c>
    </row>
    <row r="5" spans="2:8">
      <c r="B5" s="1" t="s">
        <v>27</v>
      </c>
      <c r="C5" s="2">
        <v>302231360</v>
      </c>
      <c r="D5" s="2">
        <v>258935494</v>
      </c>
      <c r="E5" s="2">
        <v>300870903</v>
      </c>
      <c r="F5" s="2">
        <v>333605938</v>
      </c>
      <c r="G5" s="3" t="s">
        <v>28</v>
      </c>
    </row>
    <row r="6" spans="2:8">
      <c r="B6" s="1" t="s">
        <v>29</v>
      </c>
      <c r="C6" s="2">
        <v>190041770</v>
      </c>
      <c r="D6" s="2">
        <v>180388580</v>
      </c>
      <c r="E6" s="2">
        <v>186562268</v>
      </c>
      <c r="F6" s="2">
        <v>202235513</v>
      </c>
      <c r="G6" s="3" t="s">
        <v>28</v>
      </c>
    </row>
    <row r="7" spans="2:8">
      <c r="B7" s="1" t="s">
        <v>30</v>
      </c>
      <c r="C7" s="2">
        <v>112189590</v>
      </c>
      <c r="D7" s="2">
        <v>78546914</v>
      </c>
      <c r="E7" s="2">
        <v>114308635</v>
      </c>
      <c r="F7" s="2">
        <v>131370425</v>
      </c>
      <c r="G7" s="3" t="s">
        <v>28</v>
      </c>
    </row>
    <row r="8" spans="2:8">
      <c r="B8" s="1" t="s">
        <v>31</v>
      </c>
      <c r="C8" s="2">
        <v>68812960</v>
      </c>
      <c r="D8" s="2">
        <v>71979938</v>
      </c>
      <c r="E8" s="2">
        <v>81582674</v>
      </c>
      <c r="F8" s="2">
        <v>87769374</v>
      </c>
      <c r="G8" s="3" t="s">
        <v>28</v>
      </c>
    </row>
    <row r="9" spans="2:8">
      <c r="B9" s="1" t="s">
        <v>32</v>
      </c>
      <c r="C9" s="2">
        <v>43376630</v>
      </c>
      <c r="D9" s="2">
        <v>6566976</v>
      </c>
      <c r="E9" s="2">
        <v>32725961</v>
      </c>
      <c r="F9" s="2">
        <v>43601051</v>
      </c>
      <c r="G9" s="3" t="s">
        <v>28</v>
      </c>
    </row>
    <row r="10" spans="2:8">
      <c r="B10" s="1" t="s">
        <v>33</v>
      </c>
      <c r="C10" s="2">
        <v>55654077</v>
      </c>
      <c r="D10" s="2">
        <v>15487100</v>
      </c>
      <c r="E10" s="2">
        <v>34451351</v>
      </c>
      <c r="F10" s="2">
        <v>45206805</v>
      </c>
      <c r="G10" s="3" t="s">
        <v>28</v>
      </c>
    </row>
    <row r="13" spans="2:8">
      <c r="B13" s="4" t="s">
        <v>34</v>
      </c>
    </row>
    <row r="14" spans="2:8">
      <c r="B14" s="16" t="s">
        <v>35</v>
      </c>
      <c r="C14" s="16" t="s">
        <v>27</v>
      </c>
      <c r="D14" s="16" t="s">
        <v>36</v>
      </c>
      <c r="E14" s="16" t="s">
        <v>37</v>
      </c>
      <c r="F14" s="16" t="s">
        <v>38</v>
      </c>
      <c r="G14" s="16" t="s">
        <v>39</v>
      </c>
      <c r="H14" s="16" t="s">
        <v>40</v>
      </c>
    </row>
    <row r="15" spans="2:8">
      <c r="B15" s="1" t="s">
        <v>22</v>
      </c>
      <c r="C15" s="5">
        <f>C5/1000000</f>
        <v>302.23136</v>
      </c>
      <c r="D15" s="5">
        <f>C6/1000000</f>
        <v>190.04177000000001</v>
      </c>
      <c r="E15" s="5">
        <f>C7/1000000</f>
        <v>112.18959</v>
      </c>
      <c r="F15" s="5">
        <f>C8/1000000</f>
        <v>68.812960000000004</v>
      </c>
      <c r="G15" s="5">
        <f>C9/1000000</f>
        <v>43.376629999999999</v>
      </c>
      <c r="H15" s="5">
        <f>C10/1000000</f>
        <v>55.654077000000001</v>
      </c>
    </row>
    <row r="16" spans="2:8">
      <c r="B16" s="1" t="s">
        <v>23</v>
      </c>
      <c r="C16" s="5">
        <f>D5/1000000</f>
        <v>258.93549400000001</v>
      </c>
      <c r="D16" s="5">
        <f>D6/1000000</f>
        <v>180.38857999999999</v>
      </c>
      <c r="E16" s="5">
        <f>D7/1000000</f>
        <v>78.546914000000001</v>
      </c>
      <c r="F16" s="5">
        <f>D8/1000000</f>
        <v>71.979938000000004</v>
      </c>
      <c r="G16" s="5">
        <f>D9/1000000</f>
        <v>6.5669760000000004</v>
      </c>
      <c r="H16" s="5">
        <f>D10/1000000</f>
        <v>15.4871</v>
      </c>
    </row>
    <row r="17" spans="2:8">
      <c r="B17" s="1" t="s">
        <v>24</v>
      </c>
      <c r="C17" s="5">
        <f>E5/1000000</f>
        <v>300.870903</v>
      </c>
      <c r="D17" s="5">
        <f>E6/1000000</f>
        <v>186.56226799999999</v>
      </c>
      <c r="E17" s="5">
        <f>E7/1000000</f>
        <v>114.308635</v>
      </c>
      <c r="F17" s="5">
        <f>E8/1000000</f>
        <v>81.582673999999997</v>
      </c>
      <c r="G17" s="5">
        <f>E9/1000000</f>
        <v>32.725960999999998</v>
      </c>
      <c r="H17" s="5">
        <f>E10/1000000</f>
        <v>34.451351000000003</v>
      </c>
    </row>
    <row r="18" spans="2:8">
      <c r="B18" s="1" t="s">
        <v>25</v>
      </c>
      <c r="C18" s="5">
        <f>F5/1000000</f>
        <v>333.60593799999998</v>
      </c>
      <c r="D18" s="5">
        <f>F6/1000000</f>
        <v>202.235513</v>
      </c>
      <c r="E18" s="5">
        <f>F7/1000000</f>
        <v>131.37042500000001</v>
      </c>
      <c r="F18" s="5">
        <f>F8/1000000</f>
        <v>87.769373999999999</v>
      </c>
      <c r="G18" s="5">
        <f>F9/1000000</f>
        <v>43.601050999999998</v>
      </c>
      <c r="H18" s="5">
        <f>F10/1000000</f>
        <v>45.206805000000003</v>
      </c>
    </row>
  </sheetData>
  <mergeCells count="2">
    <mergeCell ref="B1:F1"/>
    <mergeCell ref="B2:F2"/>
  </mergeCell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14"/>
  <sheetViews>
    <sheetView zoomScaleNormal="100" workbookViewId="0">
      <pane xSplit="2" ySplit="4" topLeftCell="C5" activePane="bottomRight" state="frozen"/>
      <selection pane="bottomRight" activeCell="B4" sqref="B4:G4"/>
      <selection pane="bottomLeft" activeCell="A5" sqref="A5"/>
      <selection pane="topRight" activeCell="B1" sqref="B1"/>
    </sheetView>
  </sheetViews>
  <sheetFormatPr defaultColWidth="8.7109375" defaultRowHeight="15"/>
  <cols>
    <col min="1" max="1" width="4.5703125" customWidth="1"/>
    <col min="2" max="2" width="30" customWidth="1"/>
    <col min="3" max="5" width="16" customWidth="1"/>
    <col min="6" max="6" width="16.28515625" customWidth="1"/>
    <col min="7" max="7" width="15" customWidth="1"/>
  </cols>
  <sheetData>
    <row r="1" spans="2:7" ht="18">
      <c r="B1" s="38" t="s">
        <v>41</v>
      </c>
      <c r="C1" s="38"/>
      <c r="D1" s="38"/>
      <c r="E1" s="38"/>
      <c r="F1" s="38"/>
    </row>
    <row r="2" spans="2:7">
      <c r="B2" s="39" t="s">
        <v>42</v>
      </c>
      <c r="C2" s="39"/>
      <c r="D2" s="39"/>
      <c r="E2" s="39"/>
      <c r="F2" s="39"/>
    </row>
    <row r="4" spans="2:7">
      <c r="B4" s="16" t="s">
        <v>21</v>
      </c>
      <c r="C4" s="16" t="s">
        <v>22</v>
      </c>
      <c r="D4" s="16" t="s">
        <v>23</v>
      </c>
      <c r="E4" s="16" t="s">
        <v>24</v>
      </c>
      <c r="F4" s="16" t="s">
        <v>25</v>
      </c>
      <c r="G4" s="16" t="s">
        <v>26</v>
      </c>
    </row>
    <row r="5" spans="2:7">
      <c r="B5" s="1" t="s">
        <v>43</v>
      </c>
      <c r="C5" s="2">
        <v>218470581</v>
      </c>
      <c r="D5" s="2">
        <v>195936557</v>
      </c>
      <c r="E5" s="2">
        <v>227062266</v>
      </c>
      <c r="F5" s="2">
        <v>247684612</v>
      </c>
      <c r="G5" s="3" t="s">
        <v>28</v>
      </c>
    </row>
    <row r="6" spans="2:7">
      <c r="B6" s="6" t="s">
        <v>44</v>
      </c>
      <c r="C6" s="2">
        <v>49680710</v>
      </c>
      <c r="D6" s="2">
        <v>69080893</v>
      </c>
      <c r="E6" s="2">
        <v>53705579</v>
      </c>
      <c r="F6" s="2">
        <v>57856378</v>
      </c>
      <c r="G6" s="3" t="s">
        <v>28</v>
      </c>
    </row>
    <row r="7" spans="2:7">
      <c r="B7" s="6" t="s">
        <v>45</v>
      </c>
      <c r="C7" s="2">
        <v>35721563</v>
      </c>
      <c r="D7" s="2">
        <v>36647393</v>
      </c>
      <c r="E7" s="2">
        <v>43623073</v>
      </c>
      <c r="F7" s="2">
        <v>51127642</v>
      </c>
      <c r="G7" s="3" t="s">
        <v>28</v>
      </c>
    </row>
    <row r="8" spans="2:7">
      <c r="B8" s="6" t="s">
        <v>46</v>
      </c>
      <c r="C8" s="2">
        <v>52187866</v>
      </c>
      <c r="D8" s="2">
        <v>51625874</v>
      </c>
      <c r="E8" s="2">
        <v>51754865</v>
      </c>
      <c r="F8" s="2">
        <v>52636828</v>
      </c>
      <c r="G8" s="3" t="s">
        <v>28</v>
      </c>
    </row>
    <row r="9" spans="2:7">
      <c r="B9" s="1" t="s">
        <v>47</v>
      </c>
      <c r="C9" s="2">
        <v>229953926</v>
      </c>
      <c r="D9" s="2">
        <v>259969423</v>
      </c>
      <c r="E9" s="2">
        <v>287469682</v>
      </c>
      <c r="F9" s="2">
        <v>319257498</v>
      </c>
      <c r="G9" s="3" t="s">
        <v>28</v>
      </c>
    </row>
    <row r="10" spans="2:7">
      <c r="B10" s="1" t="s">
        <v>48</v>
      </c>
      <c r="C10" s="2">
        <v>448424507</v>
      </c>
      <c r="D10" s="2">
        <v>455905980</v>
      </c>
      <c r="E10" s="2">
        <v>514531948</v>
      </c>
      <c r="F10" s="2">
        <v>566942110</v>
      </c>
      <c r="G10" s="3" t="s">
        <v>28</v>
      </c>
    </row>
    <row r="11" spans="2:7">
      <c r="B11" s="1" t="s">
        <v>49</v>
      </c>
      <c r="C11" s="2">
        <v>78344852</v>
      </c>
      <c r="D11" s="2">
        <v>75719452</v>
      </c>
      <c r="E11" s="2">
        <v>93326299</v>
      </c>
      <c r="F11" s="2">
        <v>106411348</v>
      </c>
      <c r="G11" s="3" t="s">
        <v>28</v>
      </c>
    </row>
    <row r="12" spans="2:7">
      <c r="B12" s="1" t="s">
        <v>50</v>
      </c>
      <c r="C12" s="2">
        <v>15330051</v>
      </c>
      <c r="D12" s="2">
        <v>16508663</v>
      </c>
      <c r="E12" s="2">
        <v>19013579</v>
      </c>
      <c r="F12" s="2">
        <v>24210425</v>
      </c>
      <c r="G12" s="3" t="s">
        <v>28</v>
      </c>
    </row>
    <row r="13" spans="2:7">
      <c r="B13" s="1" t="s">
        <v>51</v>
      </c>
      <c r="C13" s="2">
        <v>93674903</v>
      </c>
      <c r="D13" s="2">
        <v>92228115</v>
      </c>
      <c r="E13" s="2">
        <v>112339878</v>
      </c>
      <c r="F13" s="2">
        <v>130621773</v>
      </c>
      <c r="G13" s="3" t="s">
        <v>28</v>
      </c>
    </row>
    <row r="14" spans="2:7">
      <c r="B14" s="1" t="s">
        <v>52</v>
      </c>
      <c r="C14" s="2">
        <v>354749604</v>
      </c>
      <c r="D14" s="2">
        <v>363677865</v>
      </c>
      <c r="E14" s="2">
        <v>402192070</v>
      </c>
      <c r="F14" s="2">
        <v>436320337</v>
      </c>
      <c r="G14" s="3" t="s">
        <v>28</v>
      </c>
    </row>
  </sheetData>
  <mergeCells count="2">
    <mergeCell ref="B1:F1"/>
    <mergeCell ref="B2:F2"/>
  </mergeCell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G11"/>
  <sheetViews>
    <sheetView zoomScaleNormal="100" workbookViewId="0">
      <selection activeCell="E16" sqref="E16"/>
    </sheetView>
  </sheetViews>
  <sheetFormatPr defaultColWidth="8.7109375" defaultRowHeight="15"/>
  <cols>
    <col min="1" max="1" width="4.42578125" customWidth="1"/>
    <col min="2" max="2" width="43" customWidth="1"/>
    <col min="3" max="6" width="16" customWidth="1"/>
    <col min="7" max="7" width="15" customWidth="1"/>
  </cols>
  <sheetData>
    <row r="1" spans="2:7" ht="18">
      <c r="B1" s="38" t="s">
        <v>53</v>
      </c>
      <c r="C1" s="38"/>
      <c r="D1" s="38"/>
      <c r="E1" s="38"/>
      <c r="F1" s="38"/>
    </row>
    <row r="2" spans="2:7">
      <c r="B2" s="39" t="s">
        <v>54</v>
      </c>
      <c r="C2" s="39"/>
      <c r="D2" s="39"/>
      <c r="E2" s="39"/>
      <c r="F2" s="39"/>
    </row>
    <row r="4" spans="2:7">
      <c r="B4" s="16" t="s">
        <v>21</v>
      </c>
      <c r="C4" s="16" t="s">
        <v>22</v>
      </c>
      <c r="D4" s="16" t="s">
        <v>23</v>
      </c>
      <c r="E4" s="16" t="s">
        <v>24</v>
      </c>
      <c r="F4" s="16" t="s">
        <v>25</v>
      </c>
      <c r="G4" s="16" t="s">
        <v>26</v>
      </c>
    </row>
    <row r="5" spans="2:7">
      <c r="B5" s="1" t="s">
        <v>55</v>
      </c>
      <c r="C5" s="2">
        <v>62181346</v>
      </c>
      <c r="D5" s="2">
        <v>44137427</v>
      </c>
      <c r="E5" s="2">
        <v>72982621</v>
      </c>
      <c r="F5" s="2">
        <v>85315148</v>
      </c>
      <c r="G5" s="3" t="s">
        <v>28</v>
      </c>
    </row>
    <row r="6" spans="2:7">
      <c r="B6" s="1" t="s">
        <v>56</v>
      </c>
      <c r="C6" s="2">
        <v>-31602804</v>
      </c>
      <c r="D6" s="2">
        <v>-16922817</v>
      </c>
      <c r="E6" s="2">
        <v>-85381702</v>
      </c>
      <c r="F6" s="2">
        <v>-68512206</v>
      </c>
      <c r="G6" s="3" t="s">
        <v>28</v>
      </c>
    </row>
    <row r="7" spans="2:7">
      <c r="B7" s="6" t="s">
        <v>57</v>
      </c>
      <c r="C7" s="2">
        <v>-49430428</v>
      </c>
      <c r="D7" s="2">
        <v>-57611292</v>
      </c>
      <c r="E7" s="2">
        <v>-51406355</v>
      </c>
      <c r="F7" s="2">
        <v>-47522179</v>
      </c>
      <c r="G7" s="3" t="s">
        <v>28</v>
      </c>
    </row>
    <row r="8" spans="2:7">
      <c r="B8" s="1" t="s">
        <v>58</v>
      </c>
      <c r="C8" s="2">
        <v>-19390049</v>
      </c>
      <c r="D8" s="2">
        <v>-8593059</v>
      </c>
      <c r="E8" s="2">
        <v>-7797243</v>
      </c>
      <c r="F8" s="2">
        <v>-13478040</v>
      </c>
      <c r="G8" s="3" t="s">
        <v>28</v>
      </c>
    </row>
    <row r="9" spans="2:7">
      <c r="B9" s="1" t="s">
        <v>59</v>
      </c>
      <c r="C9" s="2">
        <v>49680710</v>
      </c>
      <c r="D9" s="2">
        <v>69080893</v>
      </c>
      <c r="E9" s="2">
        <v>53705579</v>
      </c>
      <c r="F9" s="2">
        <v>57856378</v>
      </c>
      <c r="G9" s="3" t="s">
        <v>28</v>
      </c>
    </row>
    <row r="11" spans="2:7">
      <c r="B11" s="19" t="s">
        <v>60</v>
      </c>
      <c r="C11" s="18">
        <f>C5+C7</f>
        <v>12750918</v>
      </c>
      <c r="D11" s="17">
        <f>D5+D7</f>
        <v>-13473865</v>
      </c>
      <c r="E11" s="17">
        <f>E5+E7</f>
        <v>21576266</v>
      </c>
      <c r="F11" s="17">
        <f>F5+F7</f>
        <v>37792969</v>
      </c>
      <c r="G11" s="3" t="s">
        <v>28</v>
      </c>
    </row>
  </sheetData>
  <mergeCells count="2">
    <mergeCell ref="B1:F1"/>
    <mergeCell ref="B2:F2"/>
  </mergeCells>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G16"/>
  <sheetViews>
    <sheetView zoomScaleNormal="100" workbookViewId="0">
      <selection activeCell="B4" sqref="B4"/>
    </sheetView>
  </sheetViews>
  <sheetFormatPr defaultColWidth="8.7109375" defaultRowHeight="15"/>
  <cols>
    <col min="1" max="1" width="4" customWidth="1"/>
    <col min="2" max="2" width="31" customWidth="1"/>
    <col min="3" max="3" width="15" customWidth="1"/>
    <col min="4" max="6" width="14" customWidth="1"/>
    <col min="7" max="7" width="15" customWidth="1"/>
  </cols>
  <sheetData>
    <row r="1" spans="2:7" ht="18">
      <c r="B1" s="38" t="s">
        <v>61</v>
      </c>
      <c r="C1" s="38"/>
      <c r="D1" s="38"/>
      <c r="E1" s="38"/>
      <c r="F1" s="38"/>
      <c r="G1" s="38"/>
    </row>
    <row r="2" spans="2:7">
      <c r="B2" s="39" t="s">
        <v>62</v>
      </c>
      <c r="C2" s="39"/>
      <c r="D2" s="39"/>
      <c r="E2" s="39"/>
      <c r="F2" s="39"/>
      <c r="G2" s="39"/>
    </row>
    <row r="4" spans="2:7">
      <c r="B4" s="16" t="s">
        <v>63</v>
      </c>
      <c r="C4" s="25">
        <v>2022</v>
      </c>
      <c r="D4" s="16" t="s">
        <v>23</v>
      </c>
      <c r="E4" s="16" t="s">
        <v>24</v>
      </c>
      <c r="F4" s="16" t="s">
        <v>25</v>
      </c>
      <c r="G4" s="16" t="s">
        <v>26</v>
      </c>
    </row>
    <row r="5" spans="2:7">
      <c r="B5" s="1" t="s">
        <v>64</v>
      </c>
      <c r="C5" s="26">
        <f>182489720/1000000</f>
        <v>182.48972000000001</v>
      </c>
      <c r="D5" s="24">
        <v>170</v>
      </c>
      <c r="E5" s="7">
        <v>174.9</v>
      </c>
      <c r="F5" s="7">
        <v>188</v>
      </c>
      <c r="G5" s="3" t="s">
        <v>65</v>
      </c>
    </row>
    <row r="6" spans="2:7">
      <c r="B6" s="1" t="s">
        <v>66</v>
      </c>
      <c r="C6" s="26">
        <f>98455270/1000000</f>
        <v>98.455269999999999</v>
      </c>
      <c r="D6" s="24">
        <v>66.599999999999994</v>
      </c>
      <c r="E6" s="7">
        <v>111.1</v>
      </c>
      <c r="F6" s="7">
        <v>130.1</v>
      </c>
      <c r="G6" s="3" t="s">
        <v>65</v>
      </c>
    </row>
    <row r="7" spans="2:7">
      <c r="B7" s="1" t="s">
        <v>67</v>
      </c>
      <c r="C7" s="26">
        <f>34382619/1000000</f>
        <v>34.382618999999998</v>
      </c>
      <c r="D7" s="24">
        <v>31</v>
      </c>
      <c r="E7" s="7">
        <v>29.2</v>
      </c>
      <c r="F7" s="7">
        <v>29.8</v>
      </c>
      <c r="G7" s="3" t="s">
        <v>65</v>
      </c>
    </row>
    <row r="8" spans="2:7">
      <c r="B8" s="1" t="s">
        <v>68</v>
      </c>
      <c r="C8" s="26">
        <f>13213694/1000000</f>
        <v>13.213694</v>
      </c>
      <c r="D8" s="24">
        <v>14.4</v>
      </c>
      <c r="E8" s="7">
        <v>14.3</v>
      </c>
      <c r="F8" s="7">
        <v>15.8</v>
      </c>
      <c r="G8" s="3" t="s">
        <v>65</v>
      </c>
    </row>
    <row r="9" spans="2:7">
      <c r="B9" s="1" t="s">
        <v>69</v>
      </c>
      <c r="C9" s="27">
        <f>SUM(C5:C8)</f>
        <v>328.54130299999997</v>
      </c>
      <c r="D9" s="28">
        <f>SUM(D5:D8)</f>
        <v>282</v>
      </c>
      <c r="E9" s="20">
        <f>SUM(E5:E8)</f>
        <v>329.5</v>
      </c>
      <c r="F9" s="20">
        <f>SUM(F5:F8)</f>
        <v>363.70000000000005</v>
      </c>
    </row>
    <row r="11" spans="2:7">
      <c r="B11" s="40" t="s">
        <v>70</v>
      </c>
      <c r="C11" s="40"/>
      <c r="D11" s="9"/>
      <c r="E11" s="9"/>
      <c r="F11" s="9"/>
      <c r="G11" s="21"/>
    </row>
    <row r="12" spans="2:7">
      <c r="B12" s="16" t="s">
        <v>63</v>
      </c>
      <c r="C12" s="25">
        <v>2022</v>
      </c>
      <c r="D12" s="16" t="s">
        <v>23</v>
      </c>
      <c r="E12" s="16" t="s">
        <v>24</v>
      </c>
      <c r="F12" s="16" t="s">
        <v>25</v>
      </c>
    </row>
    <row r="13" spans="2:7">
      <c r="B13" s="1" t="s">
        <v>64</v>
      </c>
      <c r="C13" s="31">
        <f>C5/C9</f>
        <v>0.55545442333623429</v>
      </c>
      <c r="D13" s="30">
        <f>D5/D9</f>
        <v>0.6028368794326241</v>
      </c>
      <c r="E13" s="10">
        <f>E5/E9</f>
        <v>0.53080424886191202</v>
      </c>
      <c r="F13" s="10">
        <f>F5/F9</f>
        <v>0.51690954083035467</v>
      </c>
    </row>
    <row r="14" spans="2:7">
      <c r="B14" s="1" t="s">
        <v>66</v>
      </c>
      <c r="C14" s="31">
        <f>C6/C9</f>
        <v>0.29967394997517255</v>
      </c>
      <c r="D14" s="30">
        <f>D6/D9</f>
        <v>0.23617021276595743</v>
      </c>
      <c r="E14" s="10">
        <f>E6/E9</f>
        <v>0.33717754172989378</v>
      </c>
      <c r="F14" s="10">
        <f>F6/F9</f>
        <v>0.35771240032994223</v>
      </c>
    </row>
    <row r="15" spans="2:7">
      <c r="B15" s="1" t="s">
        <v>67</v>
      </c>
      <c r="C15" s="31">
        <f>C7/C9</f>
        <v>0.10465234868810391</v>
      </c>
      <c r="D15" s="30">
        <f>D7/D9</f>
        <v>0.1099290780141844</v>
      </c>
      <c r="E15" s="10">
        <f>E7/E9</f>
        <v>8.861911987860395E-2</v>
      </c>
      <c r="F15" s="10">
        <f>F7/F9</f>
        <v>8.1935661259279619E-2</v>
      </c>
    </row>
    <row r="16" spans="2:7">
      <c r="B16" s="1" t="s">
        <v>68</v>
      </c>
      <c r="C16" s="29">
        <f>C8/C9</f>
        <v>4.0219278000489335E-2</v>
      </c>
      <c r="D16" s="30">
        <f>D8/D9</f>
        <v>5.1063829787234047E-2</v>
      </c>
      <c r="E16" s="10">
        <f>E8/E9</f>
        <v>4.339908952959029E-2</v>
      </c>
      <c r="F16" s="10">
        <f>F8/F9</f>
        <v>4.3442397580423425E-2</v>
      </c>
    </row>
  </sheetData>
  <mergeCells count="3">
    <mergeCell ref="B1:G1"/>
    <mergeCell ref="B2:G2"/>
    <mergeCell ref="B11:C11"/>
  </mergeCells>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16"/>
  <sheetViews>
    <sheetView zoomScaleNormal="100" workbookViewId="0">
      <selection activeCell="I14" sqref="I14"/>
    </sheetView>
  </sheetViews>
  <sheetFormatPr defaultColWidth="8.7109375" defaultRowHeight="15"/>
  <cols>
    <col min="1" max="1" width="4.140625" customWidth="1"/>
    <col min="2" max="2" width="25.85546875" customWidth="1"/>
    <col min="3" max="3" width="14.42578125" customWidth="1"/>
    <col min="4" max="6" width="14" customWidth="1"/>
    <col min="7" max="7" width="15" customWidth="1"/>
  </cols>
  <sheetData>
    <row r="1" spans="2:7" ht="18">
      <c r="B1" s="38" t="s">
        <v>71</v>
      </c>
      <c r="C1" s="38"/>
      <c r="D1" s="38"/>
      <c r="E1" s="38"/>
      <c r="F1" s="38"/>
      <c r="G1" s="38"/>
    </row>
    <row r="2" spans="2:7">
      <c r="B2" s="39" t="s">
        <v>72</v>
      </c>
      <c r="C2" s="39"/>
      <c r="D2" s="39"/>
      <c r="E2" s="39"/>
      <c r="F2" s="39"/>
      <c r="G2" s="39"/>
    </row>
    <row r="4" spans="2:7">
      <c r="B4" s="16" t="s">
        <v>73</v>
      </c>
      <c r="C4" s="25">
        <v>2022</v>
      </c>
      <c r="D4" s="16" t="s">
        <v>23</v>
      </c>
      <c r="E4" s="16" t="s">
        <v>24</v>
      </c>
      <c r="F4" s="16" t="s">
        <v>25</v>
      </c>
      <c r="G4" s="16" t="s">
        <v>26</v>
      </c>
    </row>
    <row r="5" spans="2:7">
      <c r="B5" s="1" t="s">
        <v>74</v>
      </c>
      <c r="C5" s="33">
        <v>118.9</v>
      </c>
      <c r="D5" s="24">
        <v>92.1</v>
      </c>
      <c r="E5" s="7">
        <v>118.8</v>
      </c>
      <c r="F5" s="7">
        <v>133.30000000000001</v>
      </c>
      <c r="G5" s="3" t="s">
        <v>65</v>
      </c>
    </row>
    <row r="6" spans="2:7">
      <c r="B6" s="1" t="s">
        <v>75</v>
      </c>
      <c r="C6" s="33">
        <v>50.2</v>
      </c>
      <c r="D6" s="24">
        <v>48.1</v>
      </c>
      <c r="E6" s="7">
        <v>50.1</v>
      </c>
      <c r="F6" s="7">
        <v>53.3</v>
      </c>
      <c r="G6" s="3" t="s">
        <v>65</v>
      </c>
    </row>
    <row r="7" spans="2:7">
      <c r="B7" s="1" t="s">
        <v>76</v>
      </c>
      <c r="C7" s="33">
        <v>48.6</v>
      </c>
      <c r="D7" s="24">
        <v>45.6</v>
      </c>
      <c r="E7" s="7">
        <v>39.799999999999997</v>
      </c>
      <c r="F7" s="7">
        <v>46.6</v>
      </c>
      <c r="G7" s="3" t="s">
        <v>65</v>
      </c>
    </row>
    <row r="8" spans="2:7">
      <c r="B8" s="1" t="s">
        <v>77</v>
      </c>
      <c r="C8" s="33">
        <v>48.6</v>
      </c>
      <c r="D8" s="24">
        <v>73.099999999999994</v>
      </c>
      <c r="E8" s="7">
        <v>92.1</v>
      </c>
      <c r="F8" s="7">
        <v>100.4</v>
      </c>
      <c r="G8" s="3" t="s">
        <v>65</v>
      </c>
    </row>
    <row r="9" spans="2:7">
      <c r="B9" s="1" t="s">
        <v>78</v>
      </c>
      <c r="C9" s="32">
        <f>SUM(C5:C8)</f>
        <v>266.3</v>
      </c>
      <c r="D9" s="28">
        <f>SUM(D5:D8)</f>
        <v>258.89999999999998</v>
      </c>
      <c r="E9" s="20">
        <f>SUM(E5:E8)</f>
        <v>300.79999999999995</v>
      </c>
      <c r="F9" s="20">
        <f>SUM(F5:F8)</f>
        <v>333.6</v>
      </c>
    </row>
    <row r="11" spans="2:7">
      <c r="B11" s="8" t="s">
        <v>79</v>
      </c>
      <c r="C11" s="8"/>
      <c r="D11" s="9"/>
      <c r="E11" s="9"/>
      <c r="F11" s="9"/>
      <c r="G11" s="23"/>
    </row>
    <row r="12" spans="2:7">
      <c r="B12" s="16" t="s">
        <v>73</v>
      </c>
      <c r="C12" s="25">
        <v>2022</v>
      </c>
      <c r="D12" s="16" t="s">
        <v>23</v>
      </c>
      <c r="E12" s="16" t="s">
        <v>24</v>
      </c>
      <c r="F12" s="16" t="s">
        <v>25</v>
      </c>
    </row>
    <row r="13" spans="2:7">
      <c r="B13" s="1" t="s">
        <v>74</v>
      </c>
      <c r="C13" s="29">
        <f>C5/C9</f>
        <v>0.44648892226811865</v>
      </c>
      <c r="D13" s="30">
        <f>D5/D9</f>
        <v>0.35573580533024335</v>
      </c>
      <c r="E13" s="10">
        <f>E5/E9</f>
        <v>0.39494680851063835</v>
      </c>
      <c r="F13" s="10">
        <f>F5/F9</f>
        <v>0.39958033573141488</v>
      </c>
    </row>
    <row r="14" spans="2:7">
      <c r="B14" s="1" t="s">
        <v>75</v>
      </c>
      <c r="C14" s="22">
        <f>C6/C9</f>
        <v>0.18850920015020653</v>
      </c>
      <c r="D14" s="10">
        <f>D6/D9</f>
        <v>0.1857860177674778</v>
      </c>
      <c r="E14" s="10">
        <f>E6/E9</f>
        <v>0.16655585106382981</v>
      </c>
      <c r="F14" s="10">
        <f>F6/F9</f>
        <v>0.15977218225419662</v>
      </c>
    </row>
    <row r="15" spans="2:7">
      <c r="B15" s="1" t="s">
        <v>76</v>
      </c>
      <c r="C15" s="22">
        <f>C7/C9</f>
        <v>0.1825009387908374</v>
      </c>
      <c r="D15" s="10">
        <f>D7/D9</f>
        <v>0.17612977983777522</v>
      </c>
      <c r="E15" s="10">
        <f>E7/E9</f>
        <v>0.13231382978723405</v>
      </c>
      <c r="F15" s="10">
        <f>F7/F9</f>
        <v>0.13968824940047961</v>
      </c>
    </row>
    <row r="16" spans="2:7">
      <c r="B16" s="1" t="s">
        <v>77</v>
      </c>
      <c r="C16" s="29">
        <f>C8/C9</f>
        <v>0.1825009387908374</v>
      </c>
      <c r="D16" s="30">
        <f>D8/D9</f>
        <v>0.28234839706450365</v>
      </c>
      <c r="E16" s="10">
        <f>E8/E9</f>
        <v>0.30618351063829791</v>
      </c>
      <c r="F16" s="10">
        <f>F8/F9</f>
        <v>0.30095923261390889</v>
      </c>
    </row>
  </sheetData>
  <mergeCells count="2">
    <mergeCell ref="B1:G1"/>
    <mergeCell ref="B2:G2"/>
  </mergeCells>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F12"/>
  <sheetViews>
    <sheetView zoomScaleNormal="100" workbookViewId="0">
      <selection activeCell="K6" sqref="K6"/>
    </sheetView>
  </sheetViews>
  <sheetFormatPr defaultColWidth="8.7109375" defaultRowHeight="15"/>
  <cols>
    <col min="1" max="1" width="4.42578125" customWidth="1"/>
    <col min="2" max="2" width="34" customWidth="1"/>
    <col min="3" max="6" width="15" customWidth="1"/>
  </cols>
  <sheetData>
    <row r="1" spans="2:6" ht="18">
      <c r="B1" s="38" t="s">
        <v>80</v>
      </c>
      <c r="C1" s="38"/>
      <c r="D1" s="38"/>
      <c r="E1" s="38"/>
      <c r="F1" s="38"/>
    </row>
    <row r="2" spans="2:6">
      <c r="B2" s="39" t="s">
        <v>81</v>
      </c>
      <c r="C2" s="39"/>
      <c r="D2" s="39"/>
      <c r="E2" s="39"/>
      <c r="F2" s="39"/>
    </row>
    <row r="4" spans="2:6">
      <c r="B4" s="16" t="s">
        <v>21</v>
      </c>
      <c r="C4" s="16" t="s">
        <v>22</v>
      </c>
      <c r="D4" s="16" t="s">
        <v>23</v>
      </c>
      <c r="E4" s="16" t="s">
        <v>24</v>
      </c>
      <c r="F4" s="16" t="s">
        <v>25</v>
      </c>
    </row>
    <row r="5" spans="2:6">
      <c r="B5" s="1" t="s">
        <v>27</v>
      </c>
      <c r="C5" s="11">
        <f>'01_Income_Statement'!C5/'01_Income_Statement'!C5</f>
        <v>1</v>
      </c>
      <c r="D5" s="11">
        <f>'01_Income_Statement'!D5/'01_Income_Statement'!D5</f>
        <v>1</v>
      </c>
      <c r="E5" s="11">
        <f>'01_Income_Statement'!E5/'01_Income_Statement'!E5</f>
        <v>1</v>
      </c>
      <c r="F5" s="11">
        <f>'01_Income_Statement'!F5/'01_Income_Statement'!F5</f>
        <v>1</v>
      </c>
    </row>
    <row r="6" spans="2:6">
      <c r="B6" s="1" t="s">
        <v>29</v>
      </c>
      <c r="C6" s="11">
        <f>'01_Income_Statement'!C6/'01_Income_Statement'!C5</f>
        <v>0.62879566832508715</v>
      </c>
      <c r="D6" s="11">
        <f>'01_Income_Statement'!D6/'01_Income_Statement'!D5</f>
        <v>0.69665451118107435</v>
      </c>
      <c r="E6" s="11">
        <f>'01_Income_Statement'!E6/'01_Income_Statement'!E5</f>
        <v>0.62007414522234472</v>
      </c>
      <c r="F6" s="11">
        <f>'01_Income_Statement'!F6/'01_Income_Statement'!F5</f>
        <v>0.60621077134424384</v>
      </c>
    </row>
    <row r="7" spans="2:6">
      <c r="B7" s="1" t="s">
        <v>30</v>
      </c>
      <c r="C7" s="11">
        <f>'01_Income_Statement'!C7/'01_Income_Statement'!C5</f>
        <v>0.3712043316749129</v>
      </c>
      <c r="D7" s="11">
        <f>'01_Income_Statement'!D7/'01_Income_Statement'!D5</f>
        <v>0.3033454888189257</v>
      </c>
      <c r="E7" s="11">
        <f>'01_Income_Statement'!E7/'01_Income_Statement'!E5</f>
        <v>0.37992585477765523</v>
      </c>
      <c r="F7" s="11">
        <f>'01_Income_Statement'!F7/'01_Income_Statement'!F5</f>
        <v>0.39378922865575611</v>
      </c>
    </row>
    <row r="8" spans="2:6">
      <c r="B8" s="1" t="s">
        <v>31</v>
      </c>
      <c r="C8" s="11">
        <f>'01_Income_Statement'!C8/'01_Income_Statement'!C5</f>
        <v>0.22768305711227318</v>
      </c>
      <c r="D8" s="11">
        <f>'01_Income_Statement'!D8/'01_Income_Statement'!D5</f>
        <v>0.27798405266139375</v>
      </c>
      <c r="E8" s="11">
        <f>'01_Income_Statement'!E8/'01_Income_Statement'!E5</f>
        <v>0.27115508075568212</v>
      </c>
      <c r="F8" s="11">
        <f>'01_Income_Statement'!F8/'01_Income_Statement'!F5</f>
        <v>0.26309296089328005</v>
      </c>
    </row>
    <row r="9" spans="2:6">
      <c r="B9" s="1" t="s">
        <v>32</v>
      </c>
      <c r="C9" s="11">
        <f>'01_Income_Statement'!C9/'01_Income_Statement'!C5</f>
        <v>0.14352127456263969</v>
      </c>
      <c r="D9" s="11">
        <f>'01_Income_Statement'!D9/'01_Income_Statement'!D5</f>
        <v>2.5361436157531961E-2</v>
      </c>
      <c r="E9" s="11">
        <f>'01_Income_Statement'!E9/'01_Income_Statement'!E5</f>
        <v>0.10877077402197313</v>
      </c>
      <c r="F9" s="11">
        <f>'01_Income_Statement'!F9/'01_Income_Statement'!F5</f>
        <v>0.13069626776247609</v>
      </c>
    </row>
    <row r="10" spans="2:6">
      <c r="B10" s="1" t="s">
        <v>33</v>
      </c>
      <c r="C10" s="11">
        <f>'01_Income_Statement'!C10/'01_Income_Statement'!C5</f>
        <v>0.18414395183875029</v>
      </c>
      <c r="D10" s="11">
        <f>'01_Income_Statement'!D10/'01_Income_Statement'!D5</f>
        <v>5.9810649211343735E-2</v>
      </c>
      <c r="E10" s="11">
        <f>'01_Income_Statement'!E10/'01_Income_Statement'!E5</f>
        <v>0.11450542626915305</v>
      </c>
      <c r="F10" s="11">
        <f>'01_Income_Statement'!F10/'01_Income_Statement'!F5</f>
        <v>0.135509593357418</v>
      </c>
    </row>
    <row r="12" spans="2:6" ht="27.75" customHeight="1">
      <c r="B12" s="41" t="s">
        <v>82</v>
      </c>
      <c r="C12" s="41"/>
      <c r="D12" s="41"/>
      <c r="E12" s="41"/>
      <c r="F12" s="41"/>
    </row>
  </sheetData>
  <mergeCells count="3">
    <mergeCell ref="B1:F1"/>
    <mergeCell ref="B2:F2"/>
    <mergeCell ref="B12:F1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F23"/>
  <sheetViews>
    <sheetView zoomScaleNormal="100" workbookViewId="0">
      <pane xSplit="2" ySplit="4" topLeftCell="D14" activePane="bottomRight" state="frozen"/>
      <selection pane="bottomRight" activeCell="J12" sqref="J12"/>
      <selection pane="bottomLeft" activeCell="A5" sqref="A5"/>
      <selection pane="topRight" activeCell="B1" sqref="B1"/>
    </sheetView>
  </sheetViews>
  <sheetFormatPr defaultColWidth="8.7109375" defaultRowHeight="15"/>
  <cols>
    <col min="1" max="1" width="4.5703125" customWidth="1"/>
    <col min="2" max="2" width="50" customWidth="1"/>
    <col min="3" max="6" width="15" customWidth="1"/>
  </cols>
  <sheetData>
    <row r="1" spans="2:6" ht="18">
      <c r="B1" s="38" t="s">
        <v>83</v>
      </c>
      <c r="C1" s="38"/>
      <c r="D1" s="38"/>
      <c r="E1" s="38"/>
      <c r="F1" s="38"/>
    </row>
    <row r="2" spans="2:6">
      <c r="B2" s="39" t="s">
        <v>84</v>
      </c>
      <c r="C2" s="39"/>
      <c r="D2" s="39"/>
      <c r="E2" s="39"/>
      <c r="F2" s="39"/>
    </row>
    <row r="4" spans="2:6">
      <c r="B4" s="16" t="s">
        <v>85</v>
      </c>
      <c r="C4" s="16" t="s">
        <v>22</v>
      </c>
      <c r="D4" s="16" t="s">
        <v>23</v>
      </c>
      <c r="E4" s="16" t="s">
        <v>24</v>
      </c>
      <c r="F4" s="16" t="s">
        <v>25</v>
      </c>
    </row>
    <row r="5" spans="2:6">
      <c r="B5" s="8" t="s">
        <v>86</v>
      </c>
      <c r="C5" s="9"/>
      <c r="D5" s="9"/>
      <c r="E5" s="9"/>
      <c r="F5" s="9"/>
    </row>
    <row r="6" spans="2:6">
      <c r="B6" s="1" t="s">
        <v>87</v>
      </c>
      <c r="C6" s="11">
        <f>'01_Income_Statement'!C7/'01_Income_Statement'!C5</f>
        <v>0.3712043316749129</v>
      </c>
      <c r="D6" s="11">
        <f>'01_Income_Statement'!D7/'01_Income_Statement'!D5</f>
        <v>0.3033454888189257</v>
      </c>
      <c r="E6" s="11">
        <f>'01_Income_Statement'!E7/'01_Income_Statement'!E5</f>
        <v>0.37992585477765523</v>
      </c>
      <c r="F6" s="11">
        <f>'01_Income_Statement'!F7/'01_Income_Statement'!F5</f>
        <v>0.39378922865575611</v>
      </c>
    </row>
    <row r="7" spans="2:6">
      <c r="B7" s="1" t="s">
        <v>88</v>
      </c>
      <c r="C7" s="11">
        <f>'01_Income_Statement'!C9/'01_Income_Statement'!C5</f>
        <v>0.14352127456263969</v>
      </c>
      <c r="D7" s="11">
        <f>'01_Income_Statement'!D9/'01_Income_Statement'!D5</f>
        <v>2.5361436157531961E-2</v>
      </c>
      <c r="E7" s="11">
        <f>'01_Income_Statement'!E9/'01_Income_Statement'!E5</f>
        <v>0.10877077402197313</v>
      </c>
      <c r="F7" s="11">
        <f>'01_Income_Statement'!F9/'01_Income_Statement'!F5</f>
        <v>0.13069626776247609</v>
      </c>
    </row>
    <row r="8" spans="2:6">
      <c r="B8" s="1" t="s">
        <v>89</v>
      </c>
      <c r="C8" s="11">
        <f>'01_Income_Statement'!C10/'01_Income_Statement'!C5</f>
        <v>0.18414395183875029</v>
      </c>
      <c r="D8" s="11">
        <f>'01_Income_Statement'!D10/'01_Income_Statement'!D5</f>
        <v>5.9810649211343735E-2</v>
      </c>
      <c r="E8" s="11">
        <f>'01_Income_Statement'!E10/'01_Income_Statement'!E5</f>
        <v>0.11450542626915305</v>
      </c>
      <c r="F8" s="11">
        <f>'01_Income_Statement'!F10/'01_Income_Statement'!F5</f>
        <v>0.135509593357418</v>
      </c>
    </row>
    <row r="9" spans="2:6">
      <c r="B9" s="1" t="s">
        <v>90</v>
      </c>
      <c r="C9" s="11">
        <f>'01_Income_Statement'!C10/'02_Balance_Sheet'!C10</f>
        <v>0.1241102485061103</v>
      </c>
      <c r="D9" s="11">
        <f>'01_Income_Statement'!D10/'02_Balance_Sheet'!D10</f>
        <v>3.3969942662300676E-2</v>
      </c>
      <c r="E9" s="11">
        <f>'01_Income_Statement'!E10/'02_Balance_Sheet'!E10</f>
        <v>6.6956680015523545E-2</v>
      </c>
      <c r="F9" s="11">
        <f>'01_Income_Statement'!F10/'02_Balance_Sheet'!F10</f>
        <v>7.9737955961676585E-2</v>
      </c>
    </row>
    <row r="10" spans="2:6">
      <c r="B10" s="1" t="s">
        <v>91</v>
      </c>
      <c r="C10" s="11">
        <f>'01_Income_Statement'!C10/'02_Balance_Sheet'!C14</f>
        <v>0.15688270366610474</v>
      </c>
      <c r="D10" s="11">
        <f>'01_Income_Statement'!D10/'02_Balance_Sheet'!D14</f>
        <v>4.2584664865429743E-2</v>
      </c>
      <c r="E10" s="11">
        <f>'01_Income_Statement'!E10/'02_Balance_Sheet'!E14</f>
        <v>8.565895145570622E-2</v>
      </c>
      <c r="F10" s="11">
        <f>'01_Income_Statement'!F10/'02_Balance_Sheet'!F14</f>
        <v>0.10360920902937422</v>
      </c>
    </row>
    <row r="12" spans="2:6">
      <c r="B12" s="8" t="s">
        <v>92</v>
      </c>
      <c r="C12" s="9"/>
      <c r="D12" s="9"/>
      <c r="E12" s="9"/>
      <c r="F12" s="9"/>
    </row>
    <row r="13" spans="2:6">
      <c r="B13" s="1" t="s">
        <v>93</v>
      </c>
      <c r="C13" s="12">
        <f>'02_Balance_Sheet'!C5/'02_Balance_Sheet'!C11</f>
        <v>2.7885760892113245</v>
      </c>
      <c r="D13" s="12">
        <f>'02_Balance_Sheet'!D5/'02_Balance_Sheet'!D11</f>
        <v>2.5876647522488674</v>
      </c>
      <c r="E13" s="12">
        <f>'02_Balance_Sheet'!E5/'02_Balance_Sheet'!E11</f>
        <v>2.4329933623533062</v>
      </c>
      <c r="F13" s="12">
        <f>'02_Balance_Sheet'!F5/'02_Balance_Sheet'!F11</f>
        <v>2.3276146450094779</v>
      </c>
    </row>
    <row r="14" spans="2:6">
      <c r="B14" s="1" t="s">
        <v>94</v>
      </c>
      <c r="C14" s="12">
        <f>('02_Balance_Sheet'!C5-'02_Balance_Sheet'!C8)/'02_Balance_Sheet'!C11</f>
        <v>2.1224459649244087</v>
      </c>
      <c r="D14" s="12">
        <f>('02_Balance_Sheet'!D5-'02_Balance_Sheet'!D8)/'02_Balance_Sheet'!D11</f>
        <v>1.9058601084434683</v>
      </c>
      <c r="E14" s="12">
        <f>('02_Balance_Sheet'!E5-'02_Balance_Sheet'!E8)/'02_Balance_Sheet'!E11</f>
        <v>1.8784351557753298</v>
      </c>
      <c r="F14" s="12">
        <f>('02_Balance_Sheet'!F5-'02_Balance_Sheet'!F8)/'02_Balance_Sheet'!F11</f>
        <v>1.8329603718580842</v>
      </c>
    </row>
    <row r="16" spans="2:6">
      <c r="B16" s="8" t="s">
        <v>95</v>
      </c>
      <c r="C16" s="9"/>
      <c r="D16" s="9"/>
      <c r="E16" s="9"/>
      <c r="F16" s="9"/>
    </row>
    <row r="17" spans="2:6">
      <c r="B17" s="1" t="s">
        <v>96</v>
      </c>
      <c r="C17" s="11">
        <f>'02_Balance_Sheet'!C13/'02_Balance_Sheet'!C10</f>
        <v>0.20889782234850068</v>
      </c>
      <c r="D17" s="11">
        <f>'02_Balance_Sheet'!D13/'02_Balance_Sheet'!D10</f>
        <v>0.20229634847079656</v>
      </c>
      <c r="E17" s="11">
        <f>'02_Balance_Sheet'!E13/'02_Balance_Sheet'!E10</f>
        <v>0.21833411596047286</v>
      </c>
      <c r="F17" s="11">
        <f>'02_Balance_Sheet'!F13/'02_Balance_Sheet'!F10</f>
        <v>0.23039702060586045</v>
      </c>
    </row>
    <row r="18" spans="2:6">
      <c r="B18" s="1" t="s">
        <v>97</v>
      </c>
      <c r="C18" s="12">
        <f>'02_Balance_Sheet'!C13/'02_Balance_Sheet'!C14</f>
        <v>0.26405921794911996</v>
      </c>
      <c r="D18" s="12">
        <f>'02_Balance_Sheet'!D13/'02_Balance_Sheet'!D14</f>
        <v>0.25359837338464358</v>
      </c>
      <c r="E18" s="12">
        <f>'02_Balance_Sheet'!E13/'02_Balance_Sheet'!E14</f>
        <v>0.27931897811908624</v>
      </c>
      <c r="F18" s="12">
        <f>'02_Balance_Sheet'!F13/'02_Balance_Sheet'!F14</f>
        <v>0.29937126904996869</v>
      </c>
    </row>
    <row r="20" spans="2:6">
      <c r="B20" s="8" t="s">
        <v>98</v>
      </c>
      <c r="C20" s="9"/>
      <c r="D20" s="9"/>
      <c r="E20" s="9"/>
      <c r="F20" s="9"/>
    </row>
    <row r="21" spans="2:6">
      <c r="B21" s="1" t="s">
        <v>99</v>
      </c>
      <c r="C21" s="12">
        <f>'01_Income_Statement'!C5/'02_Balance_Sheet'!C10</f>
        <v>0.6739849300876859</v>
      </c>
      <c r="D21" s="12">
        <f>'01_Income_Statement'!D5/'02_Balance_Sheet'!D10</f>
        <v>0.56795809960641441</v>
      </c>
      <c r="E21" s="12">
        <f>'01_Income_Statement'!E5/'02_Balance_Sheet'!E10</f>
        <v>0.58474678621899689</v>
      </c>
      <c r="F21" s="12">
        <f>'01_Income_Statement'!F5/'02_Balance_Sheet'!F10</f>
        <v>0.58843033903408581</v>
      </c>
    </row>
    <row r="22" spans="2:6">
      <c r="B22" s="1" t="s">
        <v>100</v>
      </c>
      <c r="C22" s="12">
        <f>'01_Income_Statement'!C6/'02_Balance_Sheet'!C8</f>
        <v>3.641493407682161</v>
      </c>
      <c r="D22" s="12">
        <f>'01_Income_Statement'!D6/'02_Balance_Sheet'!D8</f>
        <v>3.4941506268736489</v>
      </c>
      <c r="E22" s="12">
        <f>'01_Income_Statement'!E6/'02_Balance_Sheet'!E8</f>
        <v>3.6047291013125045</v>
      </c>
      <c r="F22" s="12">
        <f>'01_Income_Statement'!F6/'02_Balance_Sheet'!F8</f>
        <v>3.8420915675237879</v>
      </c>
    </row>
    <row r="23" spans="2:6">
      <c r="B23" s="1" t="s">
        <v>101</v>
      </c>
      <c r="C23" s="12">
        <f>'01_Income_Statement'!C5/'02_Balance_Sheet'!C7</f>
        <v>8.4607540829050514</v>
      </c>
      <c r="D23" s="12">
        <f>'01_Income_Statement'!D5/'02_Balance_Sheet'!D7</f>
        <v>7.0655911049388971</v>
      </c>
      <c r="E23" s="12">
        <f>'01_Income_Statement'!E5/'02_Balance_Sheet'!E7</f>
        <v>6.8970588798271963</v>
      </c>
      <c r="F23" s="12">
        <f>'01_Income_Statement'!F5/'02_Balance_Sheet'!F7</f>
        <v>6.5249623285971214</v>
      </c>
    </row>
  </sheetData>
  <mergeCells count="2">
    <mergeCell ref="B1:F1"/>
    <mergeCell ref="B2:F2"/>
  </mergeCells>
  <pageMargins left="0.75" right="0.75" top="1" bottom="1"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F19"/>
  <sheetViews>
    <sheetView zoomScaleNormal="100" workbookViewId="0">
      <selection activeCell="I12" sqref="I12"/>
    </sheetView>
  </sheetViews>
  <sheetFormatPr defaultColWidth="8.7109375" defaultRowHeight="15"/>
  <cols>
    <col min="1" max="1" width="4.85546875" customWidth="1"/>
    <col min="2" max="2" width="41.5703125" customWidth="1"/>
    <col min="3" max="6" width="15" customWidth="1"/>
  </cols>
  <sheetData>
    <row r="1" spans="2:6" ht="18">
      <c r="B1" s="38" t="s">
        <v>102</v>
      </c>
      <c r="C1" s="38"/>
      <c r="D1" s="38"/>
      <c r="E1" s="38"/>
      <c r="F1" s="38"/>
    </row>
    <row r="2" spans="2:6">
      <c r="B2" s="39" t="s">
        <v>103</v>
      </c>
      <c r="C2" s="39"/>
      <c r="D2" s="39"/>
      <c r="E2" s="39"/>
      <c r="F2" s="39"/>
    </row>
    <row r="4" spans="2:6">
      <c r="B4" s="16" t="s">
        <v>85</v>
      </c>
      <c r="C4" s="16" t="s">
        <v>22</v>
      </c>
      <c r="D4" s="16" t="s">
        <v>23</v>
      </c>
      <c r="E4" s="16" t="s">
        <v>24</v>
      </c>
      <c r="F4" s="16" t="s">
        <v>25</v>
      </c>
    </row>
    <row r="5" spans="2:6">
      <c r="B5" s="8" t="s">
        <v>104</v>
      </c>
      <c r="C5" s="9"/>
      <c r="D5" s="9"/>
      <c r="E5" s="9"/>
      <c r="F5" s="9"/>
    </row>
    <row r="6" spans="2:6">
      <c r="B6" s="1" t="s">
        <v>105</v>
      </c>
      <c r="C6" s="13" t="s">
        <v>106</v>
      </c>
      <c r="D6" s="11">
        <f>('01_Income_Statement'!D5-'01_Income_Statement'!C5)/'01_Income_Statement'!C5</f>
        <v>-0.14325404881875925</v>
      </c>
      <c r="E6" s="11">
        <f>('01_Income_Statement'!E5-'01_Income_Statement'!D5)/'01_Income_Statement'!D5</f>
        <v>0.16195311176612967</v>
      </c>
      <c r="F6" s="11">
        <f>('01_Income_Statement'!F5-'01_Income_Statement'!E5)/'01_Income_Statement'!E5</f>
        <v>0.10880093313642895</v>
      </c>
    </row>
    <row r="7" spans="2:6">
      <c r="B7" s="1" t="s">
        <v>107</v>
      </c>
      <c r="C7" s="13" t="s">
        <v>106</v>
      </c>
      <c r="D7" s="11">
        <f>('01_Income_Statement'!D7-'01_Income_Statement'!C7)/'01_Income_Statement'!C7</f>
        <v>-0.29987341962832736</v>
      </c>
      <c r="E7" s="11">
        <f>('01_Income_Statement'!E7-'01_Income_Statement'!D7)/'01_Income_Statement'!D7</f>
        <v>0.45529122888265222</v>
      </c>
      <c r="F7" s="11">
        <f>('01_Income_Statement'!F7-'01_Income_Statement'!E7)/'01_Income_Statement'!E7</f>
        <v>0.14926072732825477</v>
      </c>
    </row>
    <row r="8" spans="2:6">
      <c r="B8" s="1" t="s">
        <v>108</v>
      </c>
      <c r="C8" s="13" t="s">
        <v>106</v>
      </c>
      <c r="D8" s="11">
        <f>('01_Income_Statement'!D9-'01_Income_Statement'!C9)/'01_Income_Statement'!C9</f>
        <v>-0.8486056662308713</v>
      </c>
      <c r="E8" s="11">
        <f>('01_Income_Statement'!E9-'01_Income_Statement'!D9)/'01_Income_Statement'!D9</f>
        <v>3.9834141315576606</v>
      </c>
      <c r="F8" s="11">
        <f>('01_Income_Statement'!F9-'01_Income_Statement'!E9)/'01_Income_Statement'!E9</f>
        <v>0.33230773574533073</v>
      </c>
    </row>
    <row r="9" spans="2:6">
      <c r="B9" s="1" t="s">
        <v>109</v>
      </c>
      <c r="C9" s="13" t="s">
        <v>106</v>
      </c>
      <c r="D9" s="11">
        <f>('01_Income_Statement'!D10-'01_Income_Statement'!C10)/'01_Income_Statement'!C10</f>
        <v>-0.72172568776946922</v>
      </c>
      <c r="E9" s="11">
        <f>('01_Income_Statement'!E10-'01_Income_Statement'!D10)/'01_Income_Statement'!D10</f>
        <v>1.2245191804792375</v>
      </c>
      <c r="F9" s="11">
        <f>('01_Income_Statement'!F10-'01_Income_Statement'!E10)/'01_Income_Statement'!E10</f>
        <v>0.31219251750098276</v>
      </c>
    </row>
    <row r="11" spans="2:6">
      <c r="B11" s="8" t="s">
        <v>110</v>
      </c>
      <c r="C11" s="9"/>
      <c r="D11" s="9"/>
      <c r="E11" s="9"/>
      <c r="F11" s="9"/>
    </row>
    <row r="12" spans="2:6">
      <c r="B12" s="1" t="s">
        <v>111</v>
      </c>
      <c r="C12" s="13" t="s">
        <v>106</v>
      </c>
      <c r="D12" s="11">
        <f>('02_Balance_Sheet'!D10-'02_Balance_Sheet'!C10)/'02_Balance_Sheet'!C10</f>
        <v>1.6683907509988074E-2</v>
      </c>
      <c r="E12" s="11">
        <f>('02_Balance_Sheet'!E10-'02_Balance_Sheet'!D10)/'02_Balance_Sheet'!D10</f>
        <v>0.12859223298628369</v>
      </c>
      <c r="F12" s="11">
        <f>('02_Balance_Sheet'!F10-'02_Balance_Sheet'!E10)/'02_Balance_Sheet'!E10</f>
        <v>0.10185987906818957</v>
      </c>
    </row>
    <row r="13" spans="2:6">
      <c r="B13" s="1" t="s">
        <v>112</v>
      </c>
      <c r="C13" s="13" t="s">
        <v>106</v>
      </c>
      <c r="D13" s="11">
        <f>('02_Balance_Sheet'!D14-'02_Balance_Sheet'!C14)/'02_Balance_Sheet'!C14</f>
        <v>2.5167782851140266E-2</v>
      </c>
      <c r="E13" s="11">
        <f>('02_Balance_Sheet'!E14-'02_Balance_Sheet'!D14)/'02_Balance_Sheet'!D14</f>
        <v>0.1059019772897094</v>
      </c>
      <c r="F13" s="11">
        <f>('02_Balance_Sheet'!F14-'02_Balance_Sheet'!E14)/'02_Balance_Sheet'!E14</f>
        <v>8.4855643722662161E-2</v>
      </c>
    </row>
    <row r="15" spans="2:6">
      <c r="B15" s="8" t="s">
        <v>113</v>
      </c>
      <c r="C15" s="9"/>
      <c r="D15" s="9"/>
      <c r="E15" s="9"/>
      <c r="F15" s="9"/>
    </row>
    <row r="16" spans="2:6">
      <c r="B16" s="1" t="s">
        <v>114</v>
      </c>
      <c r="C16" s="11" t="s">
        <v>106</v>
      </c>
      <c r="D16" s="11">
        <f>('04_Segment_Analysis'!D5-'04_Segment_Analysis'!C5)/'04_Segment_Analysis'!C5</f>
        <v>-6.8440677096770194E-2</v>
      </c>
      <c r="E16" s="11">
        <f>('04_Segment_Analysis'!E5-'04_Segment_Analysis'!D5)/'04_Segment_Analysis'!D5</f>
        <v>2.8823529411764741E-2</v>
      </c>
      <c r="F16" s="11">
        <f>('04_Segment_Analysis'!F5-'04_Segment_Analysis'!E5)/'04_Segment_Analysis'!E5</f>
        <v>7.4899942824471086E-2</v>
      </c>
    </row>
    <row r="17" spans="2:6">
      <c r="B17" s="1" t="s">
        <v>115</v>
      </c>
      <c r="C17" s="11" t="s">
        <v>106</v>
      </c>
      <c r="D17" s="11">
        <f>('04_Segment_Analysis'!D6-'04_Segment_Analysis'!C6)/'04_Segment_Analysis'!C6</f>
        <v>-0.32355068448849922</v>
      </c>
      <c r="E17" s="11">
        <f>('04_Segment_Analysis'!E6-'04_Segment_Analysis'!D6)/'04_Segment_Analysis'!D6</f>
        <v>0.66816816816816826</v>
      </c>
      <c r="F17" s="11">
        <f>('04_Segment_Analysis'!F6-'04_Segment_Analysis'!E6)/'04_Segment_Analysis'!E6</f>
        <v>0.17101710171017104</v>
      </c>
    </row>
    <row r="18" spans="2:6">
      <c r="B18" s="1" t="s">
        <v>116</v>
      </c>
      <c r="C18" s="11" t="s">
        <v>106</v>
      </c>
      <c r="D18" s="11">
        <f>('04_Segment_Analysis'!D7-'04_Segment_Analysis'!C7)/'04_Segment_Analysis'!C7</f>
        <v>-9.8381656150161173E-2</v>
      </c>
      <c r="E18" s="11">
        <f>('04_Segment_Analysis'!E7-'04_Segment_Analysis'!D7)/'04_Segment_Analysis'!D7</f>
        <v>-5.8064516129032281E-2</v>
      </c>
      <c r="F18" s="11">
        <f>('04_Segment_Analysis'!F7-'04_Segment_Analysis'!E7)/'04_Segment_Analysis'!E7</f>
        <v>2.0547945205479503E-2</v>
      </c>
    </row>
    <row r="19" spans="2:6">
      <c r="B19" s="1" t="s">
        <v>117</v>
      </c>
      <c r="C19" s="11" t="s">
        <v>106</v>
      </c>
      <c r="D19" s="11">
        <f>('04_Segment_Analysis'!D8-'04_Segment_Analysis'!C8)/'04_Segment_Analysis'!C8</f>
        <v>8.9778528245016115E-2</v>
      </c>
      <c r="E19" s="11">
        <f>('04_Segment_Analysis'!E8-'04_Segment_Analysis'!D8)/'04_Segment_Analysis'!D8</f>
        <v>-6.9444444444444198E-3</v>
      </c>
      <c r="F19" s="11">
        <f>('04_Segment_Analysis'!F8-'04_Segment_Analysis'!E8)/'04_Segment_Analysis'!E8</f>
        <v>0.1048951048951049</v>
      </c>
    </row>
  </sheetData>
  <mergeCells count="2">
    <mergeCell ref="B1:F1"/>
    <mergeCell ref="B2:F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I23"/>
  <sheetViews>
    <sheetView zoomScaleNormal="100" workbookViewId="0">
      <selection activeCell="G22" sqref="G22"/>
    </sheetView>
  </sheetViews>
  <sheetFormatPr defaultColWidth="8.7109375" defaultRowHeight="15"/>
  <cols>
    <col min="1" max="1" width="4.140625" customWidth="1"/>
    <col min="2" max="2" width="22" customWidth="1"/>
    <col min="3" max="6" width="14" customWidth="1"/>
    <col min="7" max="9" width="12" customWidth="1"/>
  </cols>
  <sheetData>
    <row r="1" spans="2:9" ht="18">
      <c r="B1" s="38" t="s">
        <v>118</v>
      </c>
      <c r="C1" s="38"/>
      <c r="D1" s="38"/>
      <c r="E1" s="38"/>
      <c r="F1" s="38"/>
      <c r="G1" s="38"/>
      <c r="H1" s="38"/>
      <c r="I1" s="38"/>
    </row>
    <row r="2" spans="2:9">
      <c r="B2" s="39" t="s">
        <v>119</v>
      </c>
      <c r="C2" s="39"/>
      <c r="D2" s="39"/>
      <c r="E2" s="39"/>
      <c r="F2" s="39"/>
      <c r="G2" s="39"/>
      <c r="H2" s="39"/>
      <c r="I2" s="39"/>
    </row>
    <row r="4" spans="2:9">
      <c r="B4" s="44" t="s">
        <v>120</v>
      </c>
      <c r="C4" s="44"/>
      <c r="D4" s="44" t="s">
        <v>121</v>
      </c>
      <c r="E4" s="44"/>
      <c r="F4" s="44" t="s">
        <v>122</v>
      </c>
      <c r="G4" s="44"/>
      <c r="H4" s="44" t="s">
        <v>123</v>
      </c>
      <c r="I4" s="44"/>
    </row>
    <row r="5" spans="2:9">
      <c r="B5" s="42">
        <f>'01_Income_Statement'!F5/1000000</f>
        <v>333.60593799999998</v>
      </c>
      <c r="C5" s="42"/>
      <c r="D5" s="42">
        <f>'01_Income_Statement'!F9/1000000</f>
        <v>43.601050999999998</v>
      </c>
      <c r="E5" s="42"/>
      <c r="F5" s="42">
        <f>'01_Income_Statement'!F10/1000000</f>
        <v>45.206805000000003</v>
      </c>
      <c r="G5" s="42"/>
      <c r="H5" s="43">
        <f>'01_Income_Statement'!F10/'01_Income_Statement'!F5</f>
        <v>0.135509593357418</v>
      </c>
      <c r="I5" s="43"/>
    </row>
    <row r="6" spans="2:9">
      <c r="B6" s="42"/>
      <c r="C6" s="42"/>
      <c r="D6" s="42"/>
      <c r="E6" s="42"/>
      <c r="F6" s="42"/>
      <c r="G6" s="42"/>
      <c r="H6" s="43"/>
      <c r="I6" s="43"/>
    </row>
    <row r="8" spans="2:9">
      <c r="B8" s="16" t="s">
        <v>85</v>
      </c>
      <c r="C8" s="16" t="s">
        <v>22</v>
      </c>
      <c r="D8" s="16" t="s">
        <v>23</v>
      </c>
      <c r="E8" s="16" t="s">
        <v>24</v>
      </c>
      <c r="F8" s="16" t="s">
        <v>25</v>
      </c>
    </row>
    <row r="9" spans="2:9">
      <c r="B9" s="1" t="s">
        <v>27</v>
      </c>
      <c r="C9" s="14">
        <f>'01_Income_Statement'!C5/1000000</f>
        <v>302.23136</v>
      </c>
      <c r="D9" s="14">
        <f>'01_Income_Statement'!D5/1000000</f>
        <v>258.93549400000001</v>
      </c>
      <c r="E9" s="14">
        <f>'01_Income_Statement'!E5/1000000</f>
        <v>300.870903</v>
      </c>
      <c r="F9" s="14">
        <f>'01_Income_Statement'!F5/1000000</f>
        <v>333.60593799999998</v>
      </c>
    </row>
    <row r="10" spans="2:9">
      <c r="B10" s="1" t="s">
        <v>30</v>
      </c>
      <c r="C10" s="14">
        <f>'01_Income_Statement'!C7/1000000</f>
        <v>112.18959</v>
      </c>
      <c r="D10" s="14">
        <f>'01_Income_Statement'!D7/1000000</f>
        <v>78.546914000000001</v>
      </c>
      <c r="E10" s="14">
        <f>'01_Income_Statement'!E7/1000000</f>
        <v>114.308635</v>
      </c>
      <c r="F10" s="14">
        <f>'01_Income_Statement'!F7/1000000</f>
        <v>131.37042500000001</v>
      </c>
    </row>
    <row r="11" spans="2:9">
      <c r="B11" s="1" t="s">
        <v>32</v>
      </c>
      <c r="C11" s="14">
        <f>'01_Income_Statement'!C9/1000000</f>
        <v>43.376629999999999</v>
      </c>
      <c r="D11" s="14">
        <f>'01_Income_Statement'!D9/1000000</f>
        <v>6.5669760000000004</v>
      </c>
      <c r="E11" s="14">
        <f>'01_Income_Statement'!E9/1000000</f>
        <v>32.725960999999998</v>
      </c>
      <c r="F11" s="14">
        <f>'01_Income_Statement'!F9/1000000</f>
        <v>43.601050999999998</v>
      </c>
    </row>
    <row r="12" spans="2:9">
      <c r="B12" s="1" t="s">
        <v>124</v>
      </c>
      <c r="C12" s="14">
        <f>'01_Income_Statement'!C10/1000000</f>
        <v>55.654077000000001</v>
      </c>
      <c r="D12" s="14">
        <f>'01_Income_Statement'!D10/1000000</f>
        <v>15.4871</v>
      </c>
      <c r="E12" s="14">
        <f>'01_Income_Statement'!E10/1000000</f>
        <v>34.451351000000003</v>
      </c>
      <c r="F12" s="14">
        <f>'01_Income_Statement'!F10/1000000</f>
        <v>45.206805000000003</v>
      </c>
    </row>
    <row r="14" spans="2:9">
      <c r="B14" s="16" t="s">
        <v>125</v>
      </c>
      <c r="C14" s="16" t="s">
        <v>22</v>
      </c>
      <c r="D14" s="16" t="s">
        <v>23</v>
      </c>
      <c r="E14" s="16" t="s">
        <v>24</v>
      </c>
      <c r="F14" s="16" t="s">
        <v>25</v>
      </c>
    </row>
    <row r="15" spans="2:9">
      <c r="B15" s="1" t="s">
        <v>87</v>
      </c>
      <c r="C15" s="11">
        <f>'01_Income_Statement'!C7/'01_Income_Statement'!C5</f>
        <v>0.3712043316749129</v>
      </c>
      <c r="D15" s="11">
        <f>'01_Income_Statement'!D7/'01_Income_Statement'!D5</f>
        <v>0.3033454888189257</v>
      </c>
      <c r="E15" s="11">
        <f>'01_Income_Statement'!E7/'01_Income_Statement'!E5</f>
        <v>0.37992585477765523</v>
      </c>
      <c r="F15" s="11">
        <f>'01_Income_Statement'!F7/'01_Income_Statement'!F5</f>
        <v>0.39378922865575611</v>
      </c>
    </row>
    <row r="16" spans="2:9">
      <c r="B16" s="1" t="s">
        <v>88</v>
      </c>
      <c r="C16" s="11">
        <f>'01_Income_Statement'!C9/'01_Income_Statement'!C5</f>
        <v>0.14352127456263969</v>
      </c>
      <c r="D16" s="11">
        <f>'01_Income_Statement'!D9/'01_Income_Statement'!D5</f>
        <v>2.5361436157531961E-2</v>
      </c>
      <c r="E16" s="11">
        <f>'01_Income_Statement'!E9/'01_Income_Statement'!E5</f>
        <v>0.10877077402197313</v>
      </c>
      <c r="F16" s="11">
        <f>'01_Income_Statement'!F9/'01_Income_Statement'!F5</f>
        <v>0.13069626776247609</v>
      </c>
    </row>
    <row r="17" spans="2:6">
      <c r="B17" s="1" t="s">
        <v>89</v>
      </c>
      <c r="C17" s="11">
        <f>'01_Income_Statement'!C10/'01_Income_Statement'!C5</f>
        <v>0.18414395183875029</v>
      </c>
      <c r="D17" s="11">
        <f>'01_Income_Statement'!D10/'01_Income_Statement'!D5</f>
        <v>5.9810649211343735E-2</v>
      </c>
      <c r="E17" s="11">
        <f>'01_Income_Statement'!E10/'01_Income_Statement'!E5</f>
        <v>0.11450542626915305</v>
      </c>
      <c r="F17" s="11">
        <f>'01_Income_Statement'!F10/'01_Income_Statement'!F5</f>
        <v>0.135509593357418</v>
      </c>
    </row>
    <row r="19" spans="2:6">
      <c r="B19" s="16" t="s">
        <v>63</v>
      </c>
      <c r="C19" s="16">
        <v>2022</v>
      </c>
      <c r="D19" s="16" t="s">
        <v>23</v>
      </c>
      <c r="E19" s="16" t="s">
        <v>24</v>
      </c>
      <c r="F19" s="16" t="s">
        <v>25</v>
      </c>
    </row>
    <row r="20" spans="2:6">
      <c r="B20" s="1" t="s">
        <v>64</v>
      </c>
      <c r="C20" s="14">
        <f>'04_Segment_Analysis'!C5</f>
        <v>182.48972000000001</v>
      </c>
      <c r="D20" s="14">
        <f>'04_Segment_Analysis'!D5</f>
        <v>170</v>
      </c>
      <c r="E20" s="14">
        <f>'04_Segment_Analysis'!E5</f>
        <v>174.9</v>
      </c>
      <c r="F20" s="14">
        <f>'04_Segment_Analysis'!F5</f>
        <v>188</v>
      </c>
    </row>
    <row r="21" spans="2:6">
      <c r="B21" s="1" t="s">
        <v>66</v>
      </c>
      <c r="C21" s="14">
        <f>'04_Segment_Analysis'!C6</f>
        <v>98.455269999999999</v>
      </c>
      <c r="D21" s="14">
        <f>'04_Segment_Analysis'!D6</f>
        <v>66.599999999999994</v>
      </c>
      <c r="E21" s="14">
        <f>'04_Segment_Analysis'!E6</f>
        <v>111.1</v>
      </c>
      <c r="F21" s="14">
        <f>'04_Segment_Analysis'!F6</f>
        <v>130.1</v>
      </c>
    </row>
    <row r="22" spans="2:6">
      <c r="B22" s="1" t="s">
        <v>67</v>
      </c>
      <c r="C22" s="14">
        <f>'04_Segment_Analysis'!C7</f>
        <v>34.382618999999998</v>
      </c>
      <c r="D22" s="14">
        <f>'04_Segment_Analysis'!D7</f>
        <v>31</v>
      </c>
      <c r="E22" s="14">
        <f>'04_Segment_Analysis'!E7</f>
        <v>29.2</v>
      </c>
      <c r="F22" s="14">
        <f>'04_Segment_Analysis'!F7</f>
        <v>29.8</v>
      </c>
    </row>
    <row r="23" spans="2:6">
      <c r="B23" s="1" t="s">
        <v>68</v>
      </c>
      <c r="C23" s="14">
        <f>'04_Segment_Analysis'!C8</f>
        <v>13.213694</v>
      </c>
      <c r="D23" s="14">
        <f>'04_Segment_Analysis'!D8</f>
        <v>14.4</v>
      </c>
      <c r="E23" s="14">
        <f>'04_Segment_Analysis'!E8</f>
        <v>14.3</v>
      </c>
      <c r="F23" s="14">
        <f>'04_Segment_Analysis'!F8</f>
        <v>15.8</v>
      </c>
    </row>
  </sheetData>
  <mergeCells count="10">
    <mergeCell ref="B5:C6"/>
    <mergeCell ref="D5:E6"/>
    <mergeCell ref="F5:G6"/>
    <mergeCell ref="H5:I6"/>
    <mergeCell ref="B1:I1"/>
    <mergeCell ref="B2:I2"/>
    <mergeCell ref="B4:C4"/>
    <mergeCell ref="D4:E4"/>
    <mergeCell ref="F4:G4"/>
    <mergeCell ref="H4:I4"/>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1</cp:revision>
  <dcterms:created xsi:type="dcterms:W3CDTF">2026-09-24T04:57:11Z</dcterms:created>
  <dcterms:modified xsi:type="dcterms:W3CDTF">2026-10-17T21:57:25Z</dcterms:modified>
  <cp:category/>
  <cp:contentStatus/>
</cp:coreProperties>
</file>